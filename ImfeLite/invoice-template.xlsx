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ebextensions/taskpanes.xml" ContentType="application/vnd.ms-office.webextensiontaskpanes+xml"/>
  <Override PartName="/xl/webextensions/webextension.xml" ContentType="application/vnd.ms-office.webextension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microsoft.com/office/2011/relationships/webextensiontaskpanes" Target="/xl/webextensions/taskpanes.xml" Id="Rc2f8aa5f34ac49d9" /></Relationships>
</file>

<file path=xl/workbook.xml><?xml version="1.0" encoding="utf-8"?>
<x:workbook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7328"/>
  <x:workbookPr filterPrivacy="1" updateLinks="never" codeName="ThisWorkbook"/>
  <xr:revisionPtr revIDLastSave="0" documentId="13_ncr:1_{5F167014-3162-4078-991E-BCCDD52046EC}" xr6:coauthVersionLast="47" xr6:coauthVersionMax="47" xr10:uidLastSave="{00000000-0000-0000-0000-000000000000}"/>
  <x:bookViews>
    <x:workbookView xWindow="-120" yWindow="-120" windowWidth="29040" windowHeight="15720" tabRatio="900" xr2:uid="{00000000-000D-0000-FFFF-FFFF00000000}"/>
  </x:bookViews>
  <x:sheets>
    <x:sheet name="Invoice" sheetId="1" r:id="rId1"/>
  </x:sheets>
  <x:definedNames>
    <x:definedName name="oknBalanceDue">Invoice!$L$41</x:definedName>
    <x:definedName name="oknCompanyAddress">Invoice!$D$5</x:definedName>
    <x:definedName name="oknCompanyCityStateZip">Invoice!$D$6</x:definedName>
    <x:definedName name="oknCompanyContact">Invoice!$D$7</x:definedName>
    <x:definedName name="oknCompanyName">Invoice!$D$4</x:definedName>
    <x:definedName name="oknCost_1">Invoice!$B$23</x:definedName>
    <x:definedName name="oknCost_10">Invoice!$B$32</x:definedName>
    <x:definedName name="oknCost_11">Invoice!$B$33</x:definedName>
    <x:definedName name="oknCost_12">Invoice!$B$34</x:definedName>
    <x:definedName name="oknCost_2">Invoice!$B$24</x:definedName>
    <x:definedName name="oknCost_3">Invoice!$B$25</x:definedName>
    <x:definedName name="oknCost_4">Invoice!$B$26</x:definedName>
    <x:definedName name="oknCost_5">Invoice!$B$27</x:definedName>
    <x:definedName name="oknCost_6">Invoice!$B$28</x:definedName>
    <x:definedName name="oknCost_7">Invoice!$B$29</x:definedName>
    <x:definedName name="oknCost_8">Invoice!$B$30</x:definedName>
    <x:definedName name="oknCost_9">Invoice!$B$31</x:definedName>
    <x:definedName name="oknDatabaseName">Invoice!$A$5</x:definedName>
    <x:definedName name="oknDueDate">Invoice!$L$20</x:definedName>
    <x:definedName name="oknExtractingEmailInvoice" hidden="1">#REF!</x:definedName>
    <x:definedName name="oknExtractingInvoiceCopyPageSetup" hidden="1">#REF!</x:definedName>
    <x:definedName name="oknExtractingInvoiceRemoveRowCol" hidden="1">#REF!</x:definedName>
    <x:definedName name="oknExtractingProtectPwd" hidden="1">#REF!</x:definedName>
    <x:definedName name="oknExtractingProtectWorksheet" hidden="1">#REF!</x:definedName>
    <x:definedName name="oknExtractingReportRemoveRowCol" hidden="1">#REF!</x:definedName>
    <x:definedName name="oknExtractingRowsToRemoveOnReportWorksheet" hidden="1">#REF!</x:definedName>
    <x:definedName name="oknExtractingWhereToPlaceNewInvoice" hidden="1">#REF!</x:definedName>
    <x:definedName name="oknInvoiceBodyMaxNumber" hidden="1">#REF!</x:definedName>
    <x:definedName name="oknInvoiceBodyMinNumber" hidden="1">#REF!</x:definedName>
    <x:definedName name="oknInvoiceDate">Invoice!$K$5</x:definedName>
    <x:definedName name="oknInvoiceID">Invoice!$K$6</x:definedName>
    <x:definedName name="oknLineTotal_1">Invoice!$L$23</x:definedName>
    <x:definedName name="oknLineTotal_10">Invoice!$L$32</x:definedName>
    <x:definedName name="oknLineTotal_11">Invoice!$L$33</x:definedName>
    <x:definedName name="oknLineTotal_12">Invoice!$L$34</x:definedName>
    <x:definedName name="oknLineTotal_2">Invoice!$L$24</x:definedName>
    <x:definedName name="oknLineTotal_3">Invoice!$L$25</x:definedName>
    <x:definedName name="oknLineTotal_4">Invoice!$L$26</x:definedName>
    <x:definedName name="oknLineTotal_5">Invoice!$L$27</x:definedName>
    <x:definedName name="oknLineTotal_6">Invoice!$L$28</x:definedName>
    <x:definedName name="oknLineTotal_7">Invoice!$L$29</x:definedName>
    <x:definedName name="oknLineTotal_8">Invoice!$L$30</x:definedName>
    <x:definedName name="oknLineTotal_9">Invoice!$L$31</x:definedName>
    <x:definedName name="oknLineTotalTaxable">Invoice!$B$35</x:definedName>
    <x:definedName name="oknNotes">Invoice!$D$39</x:definedName>
    <x:definedName name="oknOrderID">Invoice!$D$20</x:definedName>
    <x:definedName name="oknPaymentAmount">Invoice!$F$43</x:definedName>
    <x:definedName name="oknPaymentCreatedDate">Invoice!$D$43</x:definedName>
    <x:definedName name="oknPaymentNotes">Invoice!$L$43</x:definedName>
    <x:definedName name="oknPaymentPaymentTerm">Invoice!$H$43</x:definedName>
    <x:definedName name="oknPayments">Invoice!$B$48</x:definedName>
    <x:definedName name="oknPaymentTerm">Invoice!$J$20</x:definedName>
    <x:definedName name="oknPaymentTotalApplied">Invoice!$G$43</x:definedName>
    <x:definedName name="oknPrice_1">Invoice!$K$23</x:definedName>
    <x:definedName name="oknPrice_10">Invoice!$K$32</x:definedName>
    <x:definedName name="oknPrice_11">Invoice!$K$33</x:definedName>
    <x:definedName name="oknPrice_12">Invoice!$K$34</x:definedName>
    <x:definedName name="oknPrice_2">Invoice!$K$24</x:definedName>
    <x:definedName name="oknPrice_3">Invoice!$K$25</x:definedName>
    <x:definedName name="oknPrice_4">Invoice!$K$26</x:definedName>
    <x:definedName name="oknPrice_5">Invoice!$K$27</x:definedName>
    <x:definedName name="oknPrice_6">Invoice!$K$28</x:definedName>
    <x:definedName name="oknPrice_7">Invoice!$K$29</x:definedName>
    <x:definedName name="oknPrice_8">Invoice!$K$30</x:definedName>
    <x:definedName name="oknPrice_9">Invoice!$K$31</x:definedName>
    <x:definedName name="oknProductID_1">Invoice!$D$23</x:definedName>
    <x:definedName name="oknProductID_10">Invoice!$D$32</x:definedName>
    <x:definedName name="oknProductID_11">Invoice!$D$33</x:definedName>
    <x:definedName name="oknProductID_12">Invoice!$D$34</x:definedName>
    <x:definedName name="oknProductID_2">Invoice!$D$24</x:definedName>
    <x:definedName name="oknProductID_3">Invoice!$D$25</x:definedName>
    <x:definedName name="oknProductID_4">Invoice!$D$26</x:definedName>
    <x:definedName name="oknProductID_5">Invoice!$D$27</x:definedName>
    <x:definedName name="oknProductID_6">Invoice!$D$28</x:definedName>
    <x:definedName name="oknProductID_7">Invoice!$D$29</x:definedName>
    <x:definedName name="oknProductID_8">Invoice!$D$30</x:definedName>
    <x:definedName name="oknProductID_9">Invoice!$D$31</x:definedName>
    <x:definedName name="oknProductName_1">Invoice!$F$23</x:definedName>
    <x:definedName name="oknProductName_10">Invoice!$F$32</x:definedName>
    <x:definedName name="oknProductName_11">Invoice!$F$33</x:definedName>
    <x:definedName name="oknProductName_12">Invoice!$F$34</x:definedName>
    <x:definedName name="oknProductName_2">Invoice!$F$24</x:definedName>
    <x:definedName name="oknProductName_3">Invoice!$F$25</x:definedName>
    <x:definedName name="oknProductName_4">Invoice!$F$26</x:definedName>
    <x:definedName name="oknProductName_5">Invoice!$F$27</x:definedName>
    <x:definedName name="oknProductName_6">Invoice!$F$28</x:definedName>
    <x:definedName name="oknProductName_7">Invoice!$F$29</x:definedName>
    <x:definedName name="oknProductName_8">Invoice!$F$30</x:definedName>
    <x:definedName name="oknProductName_9">Invoice!$F$31</x:definedName>
    <x:definedName name="oknQuantity_1">Invoice!$J$23</x:definedName>
    <x:definedName name="oknQuantity_10">Invoice!$J$32</x:definedName>
    <x:definedName name="oknQuantity_11">Invoice!$J$33</x:definedName>
    <x:definedName name="oknQuantity_12">Invoice!$J$34</x:definedName>
    <x:definedName name="oknQuantity_2">Invoice!$J$24</x:definedName>
    <x:definedName name="oknQuantity_3">Invoice!$J$25</x:definedName>
    <x:definedName name="oknQuantity_4">Invoice!$J$26</x:definedName>
    <x:definedName name="oknQuantity_5">Invoice!$J$27</x:definedName>
    <x:definedName name="oknQuantity_6">Invoice!$J$28</x:definedName>
    <x:definedName name="oknQuantity_7">Invoice!$J$29</x:definedName>
    <x:definedName name="oknQuantity_8">Invoice!$J$30</x:definedName>
    <x:definedName name="oknQuantity_9">Invoice!$J$31</x:definedName>
    <x:definedName name="oknQuoteID">Invoice!$A$50</x:definedName>
    <x:definedName name="oknSalesRepName">Invoice!$F$20</x:definedName>
    <x:definedName name="oknSavingInvoiceClearWorksheet" hidden="1">#REF!</x:definedName>
    <x:definedName name="oknSavingInvoicePromptForPayment" hidden="1">#REF!</x:definedName>
    <x:definedName name="oknShipAddress">Invoice!$J$12</x:definedName>
    <x:definedName name="oknShipCityStateZip">Invoice!$J$13</x:definedName>
    <x:definedName name="oknShipContact">Invoice!$J$16</x:definedName>
    <x:definedName name="oknShipCountry">Invoice!$J$15</x:definedName>
    <x:definedName name="oknShipDate">Invoice!$H$20</x:definedName>
    <x:definedName name="oknShipName">Invoice!$J$11</x:definedName>
    <x:definedName name="oknShippingCost">Invoice!$L$38</x:definedName>
    <x:definedName name="oknShipVia">Invoice!$I$20</x:definedName>
    <x:definedName name="oknShipZipPostcode">Invoice!$J$14</x:definedName>
    <x:definedName name="oknStatus">Invoice!$A$7</x:definedName>
    <x:definedName name="oknSubTotal">Invoice!$L$35</x:definedName>
    <x:definedName name="oknTax1">Invoice!$L$36</x:definedName>
    <x:definedName name="oknTax1Name">Invoice!$J$36</x:definedName>
    <x:definedName name="oknTax1Rate">Invoice!$K$36</x:definedName>
    <x:definedName name="oknTax1RateDefault">Invoice!$A$14</x:definedName>
    <x:definedName name="oknTax2">Invoice!$L$37</x:definedName>
    <x:definedName name="oknTax2IsAppliedToTax1">Invoice!$A$12</x:definedName>
    <x:definedName name="oknTax2Name">Invoice!$J$37</x:definedName>
    <x:definedName name="oknTax2Rate">Invoice!$K$37</x:definedName>
    <x:definedName name="oknTax2RateDefault">Invoice!$A$16</x:definedName>
    <x:definedName name="oknTaxable_1">Invoice!$A$23</x:definedName>
    <x:definedName name="oknTaxable_10">Invoice!$A$32</x:definedName>
    <x:definedName name="oknTaxable_11">Invoice!$A$33</x:definedName>
    <x:definedName name="oknTaxable_12">Invoice!$A$34</x:definedName>
    <x:definedName name="oknTaxable_2">Invoice!$A$24</x:definedName>
    <x:definedName name="oknTaxable_3">Invoice!$A$25</x:definedName>
    <x:definedName name="oknTaxable_4">Invoice!$A$26</x:definedName>
    <x:definedName name="oknTaxable_5">Invoice!$A$27</x:definedName>
    <x:definedName name="oknTaxable_6">Invoice!$A$28</x:definedName>
    <x:definedName name="oknTaxable_7">Invoice!$A$29</x:definedName>
    <x:definedName name="oknTaxable_8">Invoice!$A$30</x:definedName>
    <x:definedName name="oknTaxable_9">Invoice!$A$31</x:definedName>
    <x:definedName name="oknTaxTotalIncludingShippingCost">Invoice!$A$13</x:definedName>
    <x:definedName name="oknTaxType">Invoice!$A$10</x:definedName>
    <x:definedName name="oknTotal">Invoice!$L$39</x:definedName>
    <x:definedName name="oknWhoAddress">Invoice!$F$12</x:definedName>
    <x:definedName name="oknWhoCityStateZip">Invoice!$F$13</x:definedName>
    <x:definedName name="oknWhoCountry">Invoice!$F$15</x:definedName>
    <x:definedName name="oknWhoEmail">Invoice!$F$17</x:definedName>
    <x:definedName name="oknWhoID">Invoice!$K$7</x:definedName>
    <x:definedName name="oknWhoName">Invoice!$F$11</x:definedName>
    <x:definedName name="oknWhoPhone">Invoice!$F$16</x:definedName>
    <x:definedName name="oknWhoZipPostcode">Invoice!$F$14</x:definedName>
    <x:definedName name="oknZ2DONTREMOVESoftwareID" hidden="1">#REF!</x:definedName>
    <x:definedName name="oknZZDONTREMOVEDatabasePath" hidden="1">#REF!</x:definedName>
    <x:definedName name="oknZZDONTREMOVEHowToCloseWorkbook" hidden="1">#REF!</x:definedName>
    <x:definedName name="_xlnm.Print_Area" localSheetId="0">Invoice!$D$4:$L$47</x:definedName>
    <x:definedName name="_xlnm.Print_Titles" localSheetId="0">Invoice!$4:$22</x:definedName>
  </x:definedNames>
  <x:calcPr calcId="191028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L40" i="1" l="1"/>
  <c r="L23" i="1"/>
  <c r="L24" i="1"/>
  <c r="L25" i="1"/>
  <c r="L26" i="1"/>
  <c r="L27" i="1"/>
  <c r="L28" i="1"/>
  <c r="L29" i="1"/>
  <c r="L30" i="1"/>
  <c r="L31" i="1"/>
  <c r="L32" i="1"/>
  <c r="L33" i="1"/>
  <c r="L34" i="1"/>
  <c r="B35" i="1" a="1"/>
  <c r="B35" i="1" s="1"/>
  <c r="L35" i="1"/>
  <c r="L37" i="1" s="1"/>
  <c r="L36" i="1" l="1"/>
  <c r="L39" i="1"/>
  <c r="L41" i="1" s="1"/>
</calcChain>
</file>

<file path=xl/sharedStrings.xml><?xml version="1.0" encoding="utf-8"?>
<sst xmlns="http://schemas.openxmlformats.org/spreadsheetml/2006/main" count="58" uniqueCount="53">
  <si>
    <t>Current Database</t>
  </si>
  <si>
    <t>Your Company Name</t>
  </si>
  <si>
    <t>INVOICE</t>
  </si>
  <si>
    <t>Invoice Manager (Lite) for Excel</t>
  </si>
  <si>
    <t>&lt;ERROR&gt;</t>
  </si>
  <si>
    <t>Street Address</t>
  </si>
  <si>
    <t>DATE:</t>
  </si>
  <si>
    <t>Invoice Status</t>
  </si>
  <si>
    <t>City, ST  ZIP Code</t>
  </si>
  <si>
    <t>INVOICE#:</t>
  </si>
  <si>
    <t>Home Page</t>
  </si>
  <si>
    <t>Pending</t>
  </si>
  <si>
    <t>Phone Number,Web Address, etc.</t>
  </si>
  <si>
    <t>Client #:</t>
  </si>
  <si>
    <t>TaxSystem</t>
  </si>
  <si>
    <t>BILL TO</t>
  </si>
  <si>
    <t>SHIP TO</t>
  </si>
  <si>
    <t>Name</t>
  </si>
  <si>
    <t>Address</t>
  </si>
  <si>
    <t>City, State ZIP</t>
  </si>
  <si>
    <t>Country</t>
  </si>
  <si>
    <t>Phone</t>
  </si>
  <si>
    <t>Contact</t>
  </si>
  <si>
    <t>Email</t>
  </si>
  <si>
    <t>P.O. #</t>
  </si>
  <si>
    <t>Sales Rep. Name</t>
  </si>
  <si>
    <t>Ship Date</t>
  </si>
  <si>
    <t>Ship Via</t>
  </si>
  <si>
    <t>Terms</t>
  </si>
  <si>
    <t>Due Date</t>
  </si>
  <si>
    <t>Taxable</t>
  </si>
  <si>
    <t>cost</t>
  </si>
  <si>
    <t>Item #</t>
  </si>
  <si>
    <t>Description</t>
  </si>
  <si>
    <t>Quantity</t>
  </si>
  <si>
    <t>Unit Price</t>
  </si>
  <si>
    <t>Line Total</t>
  </si>
  <si>
    <t>SUBTOTAL</t>
  </si>
  <si>
    <t>TAX 1</t>
  </si>
  <si>
    <t>TAX 2</t>
  </si>
  <si>
    <t>NOTES:</t>
  </si>
  <si>
    <t>SHIPPING &amp; HANDLING</t>
  </si>
  <si>
    <t>TOTAL</t>
  </si>
  <si>
    <t>PAID</t>
  </si>
  <si>
    <t>TOTAL DUE</t>
  </si>
  <si>
    <t>PAYMENT DETAIL</t>
    <phoneticPr fontId="1" type="noConversion"/>
  </si>
  <si>
    <t>DATE</t>
    <phoneticPr fontId="2" type="noConversion"/>
  </si>
  <si>
    <t>TYPE</t>
    <phoneticPr fontId="2" type="noConversion"/>
  </si>
  <si>
    <t>NOTES</t>
    <phoneticPr fontId="2" type="noConversion"/>
  </si>
  <si>
    <t>Payments</t>
  </si>
  <si>
    <t xml:space="preserve">THANK YOU FOR YOUR BUSINESS! </t>
  </si>
  <si>
    <t>QuoteID</t>
  </si>
  <si>
    <t>Version 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</si>
</sst>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_);_(* \(#,##0.00\);;_(@_)"/>
    <numFmt numFmtId="165" formatCode="General_)"/>
    <numFmt numFmtId="166" formatCode="[$-409]mmmm\ d\,\ yyyy;@"/>
    <numFmt numFmtId="167" formatCode="_ * #,##0.00_ ;_ * \-#,##0.00_ ;_ * &quot;&quot;??_ ;_ @_ "/>
    <numFmt numFmtId="168" formatCode="_(* #,##0.00_);_(* \(#,##0.00\);_(* &quot;&quot;??_);_(@_)"/>
    <numFmt numFmtId="169" formatCode="[$-409]d\-mmm\-yy;@"/>
    <numFmt numFmtId="170" formatCode="[$-409]d/mmm/yy;@"/>
    <numFmt numFmtId="171" formatCode="0.000%"/>
  </numFmts>
  <fonts count="18" x14ac:knownFonts="1">
    <font>
      <sz val="10"/>
      <name val="Arial"/>
      <family val="2"/>
    </font>
    <font>
      <b/>
      <sz val="10"/>
      <name val="Arial"/>
      <family val="2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sz val="10"/>
      <name val="Book Antiqua"/>
      <family val="1"/>
    </font>
    <font>
      <b/>
      <sz val="10"/>
      <name val="Book Antiqua"/>
      <family val="1"/>
    </font>
    <font>
      <sz val="10"/>
      <color indexed="42"/>
      <name val="Book Antiqua"/>
      <family val="1"/>
    </font>
    <font>
      <b/>
      <sz val="9"/>
      <name val="Book Antiqua"/>
      <family val="1"/>
    </font>
    <font>
      <sz val="10"/>
      <color theme="2" tint="-0.499984740745262"/>
      <name val="Book Antiqua"/>
      <family val="1"/>
    </font>
    <font>
      <sz val="9"/>
      <name val="Book Antiqua"/>
      <family val="1"/>
    </font>
    <font>
      <b/>
      <sz val="9"/>
      <color theme="0"/>
      <name val="Book Antiqua"/>
      <family val="1"/>
    </font>
    <font>
      <i/>
      <sz val="10"/>
      <name val="Book Antiqua"/>
      <family val="1"/>
    </font>
    <font>
      <sz val="12"/>
      <color theme="1" tint="0.249977111117893"/>
      <name val="Bodoni MT Black"/>
      <family val="1"/>
    </font>
    <font>
      <sz val="9"/>
      <name val="Segoe UI"/>
      <family val="2"/>
    </font>
    <font>
      <sz val="10"/>
      <name val="Segoe UI"/>
      <family val="2"/>
    </font>
    <font>
      <b/>
      <sz val="20"/>
      <color theme="4" tint="-0.249977111117893"/>
      <name val="Bodoni MT Black"/>
      <family val="1"/>
    </font>
    <font>
      <sz val="10"/>
      <color theme="0"/>
      <name val="Arial"/>
      <family val="2"/>
    </font>
    <font>
      <sz val="14"/>
      <color theme="0"/>
      <name val="Impact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gradientFill type="path">
        <stop position="0">
          <color theme="4" tint="0.80001220740379042"/>
        </stop>
        <stop position="1">
          <color theme="4"/>
        </stop>
      </gradient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 applyAlignment="1">
      <alignment horizontal="left" vertical="center"/>
    </xf>
    <xf numFmtId="44" fontId="9" fillId="0" borderId="0" xfId="0" applyNumberFormat="1" applyFont="1" applyAlignment="1">
      <alignment horizontal="left" vertical="center"/>
    </xf>
    <xf numFmtId="164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43" fontId="9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9" fillId="7" borderId="0" xfId="0" applyFont="1" applyFill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14" fontId="13" fillId="0" borderId="14" xfId="0" applyNumberFormat="1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66" fontId="4" fillId="0" borderId="0" xfId="0" applyNumberFormat="1" applyFont="1" applyAlignment="1">
      <alignment horizontal="left" vertical="center" shrinkToFit="1"/>
    </xf>
    <xf numFmtId="0" fontId="9" fillId="4" borderId="0" xfId="0" applyFont="1" applyFill="1" applyAlignment="1">
      <alignment horizontal="right" vertical="center"/>
    </xf>
    <xf numFmtId="167" fontId="13" fillId="0" borderId="17" xfId="0" applyNumberFormat="1" applyFont="1" applyBorder="1" applyAlignment="1" applyProtection="1">
      <alignment horizontal="right" vertical="center"/>
      <protection locked="0"/>
    </xf>
    <xf numFmtId="167" fontId="13" fillId="2" borderId="20" xfId="0" applyNumberFormat="1" applyFont="1" applyFill="1" applyBorder="1" applyAlignment="1" applyProtection="1">
      <alignment horizontal="right" vertical="center"/>
      <protection locked="0"/>
    </xf>
    <xf numFmtId="167" fontId="13" fillId="0" borderId="20" xfId="0" applyNumberFormat="1" applyFont="1" applyBorder="1" applyAlignment="1" applyProtection="1">
      <alignment horizontal="right" vertical="center"/>
      <protection locked="0"/>
    </xf>
    <xf numFmtId="167" fontId="13" fillId="2" borderId="23" xfId="0" applyNumberFormat="1" applyFont="1" applyFill="1" applyBorder="1" applyAlignment="1" applyProtection="1">
      <alignment horizontal="right" vertical="center"/>
      <protection locked="0"/>
    </xf>
    <xf numFmtId="0" fontId="9" fillId="0" borderId="0" xfId="0" applyFont="1" applyAlignment="1">
      <alignment horizontal="right" vertical="center"/>
    </xf>
    <xf numFmtId="43" fontId="13" fillId="0" borderId="14" xfId="0" applyNumberFormat="1" applyFont="1" applyBorder="1" applyAlignment="1" applyProtection="1">
      <alignment horizontal="right" vertical="center"/>
      <protection hidden="1"/>
    </xf>
    <xf numFmtId="0" fontId="9" fillId="0" borderId="0" xfId="0" applyFont="1" applyAlignment="1" applyProtection="1">
      <alignment horizontal="right" vertical="center"/>
      <protection locked="0"/>
    </xf>
    <xf numFmtId="171" fontId="9" fillId="0" borderId="0" xfId="0" applyNumberFormat="1" applyFont="1" applyAlignment="1" applyProtection="1">
      <alignment horizontal="right" vertical="center"/>
      <protection locked="0"/>
    </xf>
    <xf numFmtId="0" fontId="7" fillId="0" borderId="0" xfId="0" applyFont="1" applyAlignment="1">
      <alignment horizontal="left" vertical="center"/>
    </xf>
    <xf numFmtId="43" fontId="13" fillId="0" borderId="14" xfId="0" applyNumberFormat="1" applyFont="1" applyBorder="1" applyAlignment="1" applyProtection="1">
      <alignment horizontal="right" vertical="center"/>
      <protection locked="0" hidden="1"/>
    </xf>
    <xf numFmtId="0" fontId="7" fillId="0" borderId="0" xfId="0" applyFont="1" applyAlignment="1">
      <alignment horizontal="right" vertical="center"/>
    </xf>
    <xf numFmtId="0" fontId="4" fillId="5" borderId="0" xfId="0" applyFont="1" applyFill="1" applyAlignment="1" applyProtection="1">
      <alignment horizontal="left" vertical="center"/>
      <protection locked="0" hidden="1"/>
    </xf>
    <xf numFmtId="0" fontId="4" fillId="5" borderId="0" xfId="0" applyFont="1" applyFill="1" applyAlignment="1">
      <alignment horizontal="left" vertical="center"/>
    </xf>
    <xf numFmtId="0" fontId="4" fillId="6" borderId="0" xfId="0" applyFont="1" applyFill="1" applyAlignment="1" applyProtection="1">
      <alignment horizontal="left" vertical="center"/>
      <protection locked="0" hidden="1"/>
    </xf>
    <xf numFmtId="0" fontId="4" fillId="6" borderId="0" xfId="0" applyFont="1" applyFill="1" applyAlignment="1">
      <alignment horizontal="left" vertical="center"/>
    </xf>
    <xf numFmtId="0" fontId="4" fillId="0" borderId="0" xfId="0" applyFont="1" applyAlignment="1" applyProtection="1">
      <alignment horizontal="left" vertical="center"/>
      <protection locked="0" hidden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 hidden="1"/>
    </xf>
    <xf numFmtId="0" fontId="9" fillId="2" borderId="0" xfId="0" applyFont="1" applyFill="1" applyAlignment="1">
      <alignment horizontal="left" vertical="center"/>
    </xf>
    <xf numFmtId="0" fontId="3" fillId="0" borderId="0" xfId="1" applyAlignment="1" applyProtection="1">
      <alignment horizontal="left" vertical="center"/>
    </xf>
    <xf numFmtId="0" fontId="9" fillId="0" borderId="0" xfId="0" applyFont="1" applyAlignment="1" applyProtection="1">
      <alignment horizontal="left" vertical="center"/>
      <protection hidden="1"/>
    </xf>
    <xf numFmtId="49" fontId="4" fillId="2" borderId="0" xfId="0" applyNumberFormat="1" applyFont="1" applyFill="1" applyAlignment="1" applyProtection="1">
      <alignment horizontal="left" vertical="center"/>
      <protection locked="0"/>
    </xf>
    <xf numFmtId="0" fontId="9" fillId="0" borderId="0" xfId="0" applyFont="1" applyAlignment="1">
      <alignment horizontal="left" vertical="center" wrapText="1"/>
    </xf>
    <xf numFmtId="10" fontId="9" fillId="0" borderId="0" xfId="0" applyNumberFormat="1" applyFont="1" applyAlignment="1">
      <alignment horizontal="left" vertical="center"/>
    </xf>
    <xf numFmtId="43" fontId="9" fillId="0" borderId="2" xfId="0" applyNumberFormat="1" applyFont="1" applyBorder="1" applyAlignment="1" applyProtection="1">
      <alignment horizontal="left" vertical="center"/>
      <protection locked="0" hidden="1"/>
    </xf>
    <xf numFmtId="43" fontId="10" fillId="3" borderId="3" xfId="0" applyNumberFormat="1" applyFont="1" applyFill="1" applyBorder="1" applyAlignment="1" applyProtection="1">
      <alignment horizontal="left" vertical="center"/>
      <protection locked="0"/>
    </xf>
    <xf numFmtId="43" fontId="10" fillId="3" borderId="4" xfId="0" applyNumberFormat="1" applyFont="1" applyFill="1" applyBorder="1" applyAlignment="1" applyProtection="1">
      <alignment horizontal="left" vertical="center"/>
      <protection locked="0"/>
    </xf>
    <xf numFmtId="0" fontId="10" fillId="3" borderId="1" xfId="0" applyFont="1" applyFill="1" applyBorder="1" applyAlignment="1" applyProtection="1">
      <alignment horizontal="left" vertical="center"/>
      <protection locked="0"/>
    </xf>
    <xf numFmtId="170" fontId="9" fillId="0" borderId="0" xfId="0" applyNumberFormat="1" applyFont="1" applyAlignment="1" applyProtection="1">
      <alignment horizontal="left" vertical="center"/>
      <protection locked="0"/>
    </xf>
    <xf numFmtId="165" fontId="13" fillId="0" borderId="17" xfId="0" applyNumberFormat="1" applyFont="1" applyBorder="1" applyAlignment="1" applyProtection="1">
      <alignment horizontal="right" vertical="center"/>
      <protection locked="0"/>
    </xf>
    <xf numFmtId="168" fontId="13" fillId="0" borderId="17" xfId="0" applyNumberFormat="1" applyFont="1" applyBorder="1" applyAlignment="1" applyProtection="1">
      <alignment horizontal="right" vertical="center"/>
      <protection hidden="1"/>
    </xf>
    <xf numFmtId="165" fontId="13" fillId="2" borderId="20" xfId="0" applyNumberFormat="1" applyFont="1" applyFill="1" applyBorder="1" applyAlignment="1" applyProtection="1">
      <alignment horizontal="right" vertical="center"/>
      <protection locked="0"/>
    </xf>
    <xf numFmtId="168" fontId="13" fillId="2" borderId="20" xfId="0" applyNumberFormat="1" applyFont="1" applyFill="1" applyBorder="1" applyAlignment="1" applyProtection="1">
      <alignment horizontal="right" vertical="center"/>
      <protection hidden="1"/>
    </xf>
    <xf numFmtId="165" fontId="13" fillId="0" borderId="20" xfId="0" applyNumberFormat="1" applyFont="1" applyBorder="1" applyAlignment="1" applyProtection="1">
      <alignment horizontal="right" vertical="center"/>
      <protection locked="0"/>
    </xf>
    <xf numFmtId="168" fontId="13" fillId="0" borderId="20" xfId="0" applyNumberFormat="1" applyFont="1" applyBorder="1" applyAlignment="1" applyProtection="1">
      <alignment horizontal="right" vertical="center"/>
      <protection hidden="1"/>
    </xf>
    <xf numFmtId="165" fontId="13" fillId="2" borderId="23" xfId="0" applyNumberFormat="1" applyFont="1" applyFill="1" applyBorder="1" applyAlignment="1" applyProtection="1">
      <alignment horizontal="right" vertical="center"/>
      <protection locked="0"/>
    </xf>
    <xf numFmtId="168" fontId="13" fillId="2" borderId="23" xfId="0" applyNumberFormat="1" applyFont="1" applyFill="1" applyBorder="1" applyAlignment="1" applyProtection="1">
      <alignment horizontal="right" vertical="center"/>
      <protection hidden="1"/>
    </xf>
    <xf numFmtId="0" fontId="4" fillId="8" borderId="0" xfId="0" applyFont="1" applyFill="1" applyAlignment="1" applyProtection="1">
      <alignment horizontal="center" vertical="center"/>
      <protection locked="0" hidden="1"/>
    </xf>
    <xf numFmtId="0" fontId="4" fillId="8" borderId="0" xfId="0" applyFont="1" applyFill="1" applyAlignment="1">
      <alignment horizontal="center" vertical="center"/>
    </xf>
    <xf numFmtId="0" fontId="8" fillId="8" borderId="0" xfId="0" applyFont="1" applyFill="1" applyAlignment="1" applyProtection="1">
      <alignment horizontal="center" vertical="center"/>
      <protection locked="0"/>
    </xf>
    <xf numFmtId="0" fontId="15" fillId="0" borderId="0" xfId="0" applyFont="1" applyAlignment="1">
      <alignment horizontal="right" vertical="center"/>
    </xf>
    <xf numFmtId="0" fontId="7" fillId="8" borderId="0" xfId="0" applyFont="1" applyFill="1" applyAlignment="1">
      <alignment vertical="center" wrapText="1"/>
    </xf>
    <xf numFmtId="0" fontId="16" fillId="11" borderId="0" xfId="0" applyFont="1" applyFill="1"/>
    <xf numFmtId="0" fontId="14" fillId="0" borderId="0" xfId="0" applyFont="1" applyAlignment="1">
      <alignment horizontal="left" vertical="center"/>
    </xf>
    <xf numFmtId="0" fontId="10" fillId="5" borderId="14" xfId="0" applyFont="1" applyFill="1" applyBorder="1" applyAlignment="1">
      <alignment horizontal="center" vertical="center"/>
    </xf>
    <xf numFmtId="0" fontId="13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 applyProtection="1">
      <alignment horizontal="left" vertical="center" wrapText="1"/>
      <protection locked="0"/>
    </xf>
    <xf numFmtId="0" fontId="10" fillId="5" borderId="14" xfId="0" applyFont="1" applyFill="1" applyBorder="1" applyAlignment="1">
      <alignment horizontal="center" vertical="center"/>
    </xf>
    <xf numFmtId="0" fontId="13" fillId="0" borderId="0" xfId="0" applyFont="1" applyAlignment="1" applyProtection="1">
      <alignment horizontal="left" vertical="center"/>
      <protection locked="0"/>
    </xf>
    <xf numFmtId="0" fontId="13" fillId="0" borderId="14" xfId="0" applyFont="1" applyBorder="1" applyAlignment="1" applyProtection="1">
      <alignment horizontal="center" vertical="center"/>
      <protection locked="0"/>
    </xf>
    <xf numFmtId="0" fontId="17" fillId="11" borderId="0" xfId="0" applyFont="1" applyFill="1" applyAlignment="1">
      <alignment horizontal="center" vertical="center"/>
    </xf>
    <xf numFmtId="0" fontId="14" fillId="10" borderId="0" xfId="0" applyFont="1" applyFill="1" applyAlignment="1">
      <alignment horizontal="center"/>
    </xf>
    <xf numFmtId="0" fontId="3" fillId="12" borderId="0" xfId="1" applyFill="1" applyAlignment="1" applyProtection="1">
      <alignment horizontal="center" vertical="center"/>
    </xf>
    <xf numFmtId="0" fontId="13" fillId="0" borderId="0" xfId="0" applyFont="1" applyAlignment="1" applyProtection="1">
      <alignment horizontal="left" vertical="center" wrapText="1"/>
      <protection locked="0"/>
    </xf>
    <xf numFmtId="0" fontId="4" fillId="9" borderId="0" xfId="0" applyFont="1" applyFill="1" applyAlignment="1">
      <alignment horizontal="center" vertical="center"/>
    </xf>
    <xf numFmtId="166" fontId="14" fillId="0" borderId="0" xfId="0" applyNumberFormat="1" applyFont="1" applyAlignment="1" applyProtection="1">
      <alignment horizontal="center" vertical="center" shrinkToFit="1"/>
      <protection locked="0"/>
    </xf>
    <xf numFmtId="49" fontId="14" fillId="0" borderId="0" xfId="0" applyNumberFormat="1" applyFont="1" applyAlignment="1" applyProtection="1">
      <alignment horizontal="center" vertical="center"/>
      <protection locked="0"/>
    </xf>
    <xf numFmtId="0" fontId="13" fillId="2" borderId="18" xfId="0" applyFont="1" applyFill="1" applyBorder="1" applyAlignment="1" applyProtection="1">
      <alignment horizontal="left" vertical="center"/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3" fillId="2" borderId="19" xfId="0" applyFont="1" applyFill="1" applyBorder="1" applyAlignment="1" applyProtection="1">
      <alignment horizontal="left" vertical="center"/>
      <protection locked="0"/>
    </xf>
    <xf numFmtId="0" fontId="1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0" fillId="3" borderId="4" xfId="0" applyFont="1" applyFill="1" applyBorder="1" applyAlignment="1">
      <alignment horizontal="left" vertical="center"/>
    </xf>
    <xf numFmtId="0" fontId="10" fillId="3" borderId="5" xfId="0" applyFont="1" applyFill="1" applyBorder="1" applyAlignment="1">
      <alignment horizontal="left" vertical="center"/>
    </xf>
    <xf numFmtId="0" fontId="13" fillId="0" borderId="6" xfId="0" applyFont="1" applyBorder="1" applyAlignment="1" applyProtection="1">
      <alignment horizontal="left" vertical="top" wrapText="1"/>
      <protection locked="0"/>
    </xf>
    <xf numFmtId="0" fontId="13" fillId="0" borderId="7" xfId="0" applyFont="1" applyBorder="1" applyAlignment="1" applyProtection="1">
      <alignment horizontal="left" vertical="top" wrapText="1"/>
      <protection locked="0"/>
    </xf>
    <xf numFmtId="0" fontId="13" fillId="0" borderId="8" xfId="0" applyFont="1" applyBorder="1" applyAlignment="1" applyProtection="1">
      <alignment horizontal="left" vertical="top" wrapText="1"/>
      <protection locked="0"/>
    </xf>
    <xf numFmtId="0" fontId="13" fillId="0" borderId="9" xfId="0" applyFont="1" applyBorder="1" applyAlignment="1" applyProtection="1">
      <alignment horizontal="left" vertical="top" wrapText="1"/>
      <protection locked="0"/>
    </xf>
    <xf numFmtId="0" fontId="13" fillId="0" borderId="0" xfId="0" applyFont="1" applyAlignment="1" applyProtection="1">
      <alignment horizontal="left" vertical="top" wrapText="1"/>
      <protection locked="0"/>
    </xf>
    <xf numFmtId="0" fontId="13" fillId="0" borderId="10" xfId="0" applyFont="1" applyBorder="1" applyAlignment="1" applyProtection="1">
      <alignment horizontal="left" vertical="top" wrapText="1"/>
      <protection locked="0"/>
    </xf>
    <xf numFmtId="0" fontId="13" fillId="0" borderId="11" xfId="0" applyFont="1" applyBorder="1" applyAlignment="1" applyProtection="1">
      <alignment horizontal="left" vertical="top" wrapText="1"/>
      <protection locked="0"/>
    </xf>
    <xf numFmtId="0" fontId="13" fillId="0" borderId="12" xfId="0" applyFont="1" applyBorder="1" applyAlignment="1" applyProtection="1">
      <alignment horizontal="left" vertical="top" wrapText="1"/>
      <protection locked="0"/>
    </xf>
    <xf numFmtId="0" fontId="13" fillId="0" borderId="13" xfId="0" applyFont="1" applyBorder="1" applyAlignment="1" applyProtection="1">
      <alignment horizontal="left" vertical="top" wrapText="1"/>
      <protection locked="0"/>
    </xf>
    <xf numFmtId="169" fontId="10" fillId="3" borderId="3" xfId="0" applyNumberFormat="1" applyFont="1" applyFill="1" applyBorder="1" applyAlignment="1" applyProtection="1">
      <alignment horizontal="left" vertical="center"/>
      <protection locked="0"/>
    </xf>
    <xf numFmtId="169" fontId="10" fillId="3" borderId="5" xfId="0" applyNumberFormat="1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18" xfId="0" applyFont="1" applyBorder="1" applyAlignment="1" applyProtection="1">
      <alignment horizontal="left" vertical="center"/>
      <protection locked="0"/>
    </xf>
    <xf numFmtId="0" fontId="13" fillId="0" borderId="19" xfId="0" applyFont="1" applyBorder="1" applyAlignment="1" applyProtection="1">
      <alignment horizontal="left" vertical="center"/>
      <protection locked="0"/>
    </xf>
    <xf numFmtId="49" fontId="13" fillId="0" borderId="18" xfId="0" applyNumberFormat="1" applyFont="1" applyBorder="1" applyAlignment="1" applyProtection="1">
      <alignment horizontal="center" vertical="center"/>
      <protection locked="0"/>
    </xf>
    <xf numFmtId="49" fontId="13" fillId="0" borderId="19" xfId="0" applyNumberFormat="1" applyFont="1" applyBorder="1" applyAlignment="1" applyProtection="1">
      <alignment horizontal="center" vertical="center"/>
      <protection locked="0"/>
    </xf>
    <xf numFmtId="49" fontId="13" fillId="2" borderId="18" xfId="0" applyNumberFormat="1" applyFont="1" applyFill="1" applyBorder="1" applyAlignment="1" applyProtection="1">
      <alignment horizontal="center" vertical="center"/>
      <protection locked="0"/>
    </xf>
    <xf numFmtId="49" fontId="13" fillId="2" borderId="19" xfId="0" applyNumberFormat="1" applyFont="1" applyFill="1" applyBorder="1" applyAlignment="1" applyProtection="1">
      <alignment horizontal="center" vertical="center"/>
      <protection locked="0"/>
    </xf>
    <xf numFmtId="49" fontId="13" fillId="2" borderId="21" xfId="0" applyNumberFormat="1" applyFont="1" applyFill="1" applyBorder="1" applyAlignment="1" applyProtection="1">
      <alignment horizontal="center" vertical="center"/>
      <protection locked="0"/>
    </xf>
    <xf numFmtId="49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15" xfId="0" applyFont="1" applyBorder="1" applyAlignment="1" applyProtection="1">
      <alignment horizontal="left" vertical="center"/>
      <protection locked="0"/>
    </xf>
    <xf numFmtId="0" fontId="13" fillId="0" borderId="27" xfId="0" applyFont="1" applyBorder="1" applyAlignment="1" applyProtection="1">
      <alignment horizontal="left" vertical="center"/>
      <protection locked="0"/>
    </xf>
    <xf numFmtId="0" fontId="13" fillId="0" borderId="16" xfId="0" applyFont="1" applyBorder="1" applyAlignment="1" applyProtection="1">
      <alignment horizontal="left" vertical="center"/>
      <protection locked="0"/>
    </xf>
    <xf numFmtId="0" fontId="7" fillId="8" borderId="0" xfId="0" applyFont="1" applyFill="1" applyAlignment="1">
      <alignment horizontal="center" vertical="center" wrapText="1"/>
    </xf>
    <xf numFmtId="0" fontId="4" fillId="4" borderId="0" xfId="0" applyFont="1" applyFill="1" applyAlignment="1" applyProtection="1">
      <alignment horizontal="center" vertical="center" wrapText="1"/>
      <protection locked="0"/>
    </xf>
    <xf numFmtId="0" fontId="10" fillId="5" borderId="24" xfId="0" applyFont="1" applyFill="1" applyBorder="1" applyAlignment="1">
      <alignment horizontal="center" vertical="center"/>
    </xf>
    <xf numFmtId="0" fontId="10" fillId="5" borderId="25" xfId="0" applyFont="1" applyFill="1" applyBorder="1" applyAlignment="1">
      <alignment horizontal="center" vertical="center"/>
    </xf>
    <xf numFmtId="0" fontId="10" fillId="5" borderId="26" xfId="0" applyFont="1" applyFill="1" applyBorder="1" applyAlignment="1">
      <alignment horizontal="center" vertical="center"/>
    </xf>
    <xf numFmtId="49" fontId="13" fillId="0" borderId="15" xfId="0" applyNumberFormat="1" applyFont="1" applyBorder="1" applyAlignment="1" applyProtection="1">
      <alignment horizontal="center" vertical="center"/>
      <protection locked="0"/>
    </xf>
    <xf numFmtId="49" fontId="13" fillId="0" borderId="16" xfId="0" applyNumberFormat="1" applyFont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8E4E8"/>
      <rgbColor rgb="00FFFF99"/>
      <rgbColor rgb="0099CCFF"/>
      <rgbColor rgb="00EAEAEA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8</xdr:row>
      <xdr:rowOff>9526</xdr:rowOff>
    </xdr:from>
    <xdr:to>
      <xdr:col>12</xdr:col>
      <xdr:colOff>28575</xdr:colOff>
      <xdr:row>8</xdr:row>
      <xdr:rowOff>9526</xdr:rowOff>
    </xdr:to>
    <xdr:sp macro="" textlink="">
      <xdr:nvSpPr>
        <xdr:cNvPr id="1158" name="oknWidget_1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SpPr>
          <a:spLocks noChangeShapeType="1"/>
        </xdr:cNvSpPr>
      </xdr:nvSpPr>
      <xdr:spPr bwMode="auto">
        <a:xfrm>
          <a:off x="47625" y="2247901"/>
          <a:ext cx="6248400" cy="0"/>
        </a:xfrm>
        <a:prstGeom prst="line">
          <a:avLst/>
        </a:prstGeom>
        <a:noFill/>
        <a:ln w="76200" cmpd="tri">
          <a:solidFill>
            <a:schemeClr val="accent1">
              <a:lumMod val="75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15179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15179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ebextensions/_rels/taskpanes.xml.rels>&#65279;<?xml version="1.0" encoding="utf-8"?><Relationships xmlns="http://schemas.openxmlformats.org/package/2006/relationships"><Relationship Type="http://schemas.microsoft.com/office/2011/relationships/webextension" Target="/xl/webextensions/webextension.xml" Id="R9b93bde6246b48a0" /></Relationships>
</file>

<file path=xl/webextensions/taskpanes.xml><?xml version="1.0" encoding="utf-8"?>
<wetp:taskpanes xmlns:r="http://schemas.openxmlformats.org/officeDocument/2006/relationships" xmlns:wetp="http://schemas.microsoft.com/office/webextensions/taskpanes/2010/11">
  <wetp:taskpane dockstate="" visibility="1" width="350" row="1">
    <wetp:webextensionref xmlns:r="http://schemas.openxmlformats.org/officeDocument/2006/relationships" r:id="R9b93bde6246b48a0"/>
  </wetp:taskpane>
</wetp:taskpanes>
</file>

<file path=xl/webextensions/webextension.xml><?xml version="1.0" encoding="utf-8"?>
<we:webextension xmlns:r="http://schemas.openxmlformats.org/officeDocument/2006/relationships" xmlns:we="http://schemas.microsoft.com/office/webextensions/webextension/2010/11" id="{1ec3c459-b3b2-4721-9630-6247f7909a02}">
  <we:reference id="5c009f3b-e486-475e-b459-11a32b257c85" version="2.1.1.1" store="developer" storeType="Registry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uniformsoftware.com/invoice" TargetMode="External"/><Relationship Id="rId1" Type="http://schemas.openxmlformats.org/officeDocument/2006/relationships/hyperlink" Target="https://www.invoicingtemplate.com/software.html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AC50"/>
  <sheetViews>
    <sheetView showZeros="0" tabSelected="1" showOutlineSymbols="0" topLeftCell="C1" workbookViewId="0">
      <selection activeCell="I10" sqref="I10"/>
    </sheetView>
  </sheetViews>
  <sheetFormatPr defaultColWidth="9.140625" defaultRowHeight="13.5" x14ac:dyDescent="0.2"/>
  <cols>
    <col min="1" max="1" width="10" style="28" hidden="1" customWidth="1"/>
    <col min="2" max="2" width="9" style="28" hidden="1" customWidth="1"/>
    <col min="3" max="3" width="1.5703125" style="1" customWidth="1"/>
    <col min="4" max="4" width="9.28515625" style="1" customWidth="1"/>
    <col min="5" max="5" width="2.5703125" style="1" customWidth="1"/>
    <col min="6" max="6" width="14.42578125" style="1" customWidth="1"/>
    <col min="7" max="7" width="10" style="1" customWidth="1"/>
    <col min="8" max="9" width="12.28515625" style="1" customWidth="1"/>
    <col min="10" max="10" width="10.28515625" style="1" customWidth="1"/>
    <col min="11" max="11" width="10.140625" style="1" customWidth="1"/>
    <col min="12" max="12" width="12" style="1" customWidth="1"/>
    <col min="13" max="13" width="0.85546875" style="1" customWidth="1"/>
    <col min="14" max="14" width="1" style="31" customWidth="1"/>
    <col min="15" max="15" width="2.85546875" style="1" customWidth="1"/>
    <col min="16" max="19" width="11.85546875" style="1" customWidth="1"/>
    <col min="20" max="20" width="3.85546875" style="1" customWidth="1"/>
    <col min="21" max="21" width="30.28515625" style="1" customWidth="1"/>
    <col min="22" max="22" width="9.140625" style="1"/>
    <col min="23" max="23" width="13.42578125" style="1" customWidth="1"/>
    <col min="24" max="16384" width="9.140625" style="1"/>
  </cols>
  <sheetData>
    <row r="1" spans="1:29" s="25" customFormat="1" ht="3.75" customHeight="1" x14ac:dyDescent="0.2">
      <c r="A1" s="24"/>
      <c r="B1" s="24"/>
    </row>
    <row r="2" spans="1:29" s="55" customFormat="1" ht="11.25" customHeight="1" x14ac:dyDescent="0.2">
      <c r="A2" s="54"/>
      <c r="B2" s="54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P2" s="58"/>
      <c r="Q2" s="58"/>
      <c r="X2" s="56"/>
      <c r="Y2" s="56"/>
      <c r="Z2" s="56"/>
    </row>
    <row r="3" spans="1:29" s="27" customFormat="1" ht="2.25" customHeight="1" x14ac:dyDescent="0.2">
      <c r="A3" s="26"/>
      <c r="B3" s="26"/>
      <c r="O3" s="59"/>
      <c r="P3" s="59"/>
      <c r="Q3" s="59"/>
      <c r="R3" s="59"/>
      <c r="S3" s="59"/>
    </row>
    <row r="4" spans="1:29" ht="41.25" customHeight="1" x14ac:dyDescent="0.2">
      <c r="A4" s="106" t="s">
        <v>0</v>
      </c>
      <c r="B4" s="106"/>
      <c r="D4" s="6" t="s">
        <v>1</v>
      </c>
      <c r="G4" s="29"/>
      <c r="L4" s="57" t="s">
        <v>2</v>
      </c>
      <c r="M4" s="30"/>
      <c r="O4" s="67" t="s">
        <v>3</v>
      </c>
      <c r="P4" s="67"/>
      <c r="Q4" s="67"/>
      <c r="R4" s="67"/>
      <c r="S4" s="67"/>
      <c r="T4" s="32"/>
      <c r="U4" s="32"/>
      <c r="V4" s="32"/>
      <c r="W4" s="32"/>
    </row>
    <row r="5" spans="1:29" ht="18" customHeight="1" x14ac:dyDescent="0.25">
      <c r="A5" s="107" t="s">
        <v>4</v>
      </c>
      <c r="B5" s="107"/>
      <c r="D5" s="1" t="s">
        <v>5</v>
      </c>
      <c r="J5" s="10" t="s">
        <v>6</v>
      </c>
      <c r="K5" s="72"/>
      <c r="L5" s="72"/>
      <c r="O5" s="68" t="s">
        <v>52</v>
      </c>
      <c r="P5" s="68"/>
      <c r="Q5" s="68"/>
      <c r="R5" s="68"/>
      <c r="S5" s="68"/>
      <c r="T5" s="32"/>
      <c r="U5" s="32"/>
      <c r="V5" s="32"/>
      <c r="W5" s="32"/>
    </row>
    <row r="6" spans="1:29" ht="18" customHeight="1" x14ac:dyDescent="0.2">
      <c r="A6" s="106" t="s">
        <v>7</v>
      </c>
      <c r="B6" s="106"/>
      <c r="D6" s="1" t="s">
        <v>8</v>
      </c>
      <c r="J6" s="10" t="s">
        <v>9</v>
      </c>
      <c r="K6" s="73"/>
      <c r="L6" s="73"/>
      <c r="M6" s="11"/>
      <c r="O6" s="60"/>
      <c r="P6" s="60"/>
      <c r="Q6" s="60"/>
      <c r="R6" s="69" t="s">
        <v>10</v>
      </c>
      <c r="S6" s="69"/>
      <c r="T6" s="32"/>
      <c r="U6" s="32"/>
      <c r="V6" s="32"/>
      <c r="W6" s="32"/>
      <c r="X6" s="32"/>
      <c r="Y6" s="32"/>
      <c r="Z6" s="32"/>
      <c r="AA6" s="32"/>
      <c r="AB6" s="32"/>
      <c r="AC6" s="32"/>
    </row>
    <row r="7" spans="1:29" ht="18" customHeight="1" x14ac:dyDescent="0.2">
      <c r="A7" s="107" t="s">
        <v>11</v>
      </c>
      <c r="B7" s="107"/>
      <c r="D7" s="1" t="s">
        <v>12</v>
      </c>
      <c r="J7" s="10" t="s">
        <v>13</v>
      </c>
      <c r="K7" s="73"/>
      <c r="L7" s="73"/>
      <c r="O7"/>
      <c r="P7"/>
      <c r="Q7"/>
      <c r="R7"/>
      <c r="S7"/>
      <c r="T7" s="32"/>
      <c r="U7" s="32"/>
      <c r="V7" s="32"/>
      <c r="W7" s="32"/>
      <c r="X7" s="32"/>
      <c r="Y7" s="32"/>
      <c r="Z7" s="32"/>
      <c r="AA7" s="32"/>
      <c r="AB7" s="32"/>
      <c r="AC7" s="32"/>
    </row>
    <row r="8" spans="1:29" ht="18" customHeight="1" x14ac:dyDescent="0.2">
      <c r="O8"/>
      <c r="P8"/>
      <c r="Q8"/>
      <c r="R8"/>
      <c r="S8"/>
      <c r="T8" s="32"/>
      <c r="U8" s="32"/>
      <c r="V8" s="32"/>
      <c r="W8" s="32"/>
      <c r="X8" s="32"/>
      <c r="Y8" s="32"/>
      <c r="Z8" s="32"/>
      <c r="AA8" s="32"/>
      <c r="AB8" s="32"/>
      <c r="AC8" s="32"/>
    </row>
    <row r="9" spans="1:29" ht="16.5" customHeight="1" x14ac:dyDescent="0.2">
      <c r="A9" s="28" t="s">
        <v>14</v>
      </c>
      <c r="O9"/>
      <c r="P9"/>
      <c r="Q9"/>
      <c r="R9"/>
      <c r="S9"/>
      <c r="T9" s="32"/>
      <c r="U9" s="32"/>
      <c r="V9" s="32"/>
      <c r="W9" s="32"/>
      <c r="X9" s="32"/>
      <c r="Y9" s="32"/>
      <c r="Z9" s="32"/>
      <c r="AA9" s="32"/>
      <c r="AB9" s="32"/>
      <c r="AC9" s="32"/>
    </row>
    <row r="10" spans="1:29" ht="20.100000000000001" customHeight="1" x14ac:dyDescent="0.2">
      <c r="A10" s="28">
        <v>2</v>
      </c>
      <c r="D10" s="64" t="s">
        <v>15</v>
      </c>
      <c r="E10" s="64"/>
      <c r="I10" s="61" t="s">
        <v>16</v>
      </c>
      <c r="O10"/>
      <c r="P10"/>
      <c r="Q10"/>
      <c r="R10"/>
      <c r="S10"/>
      <c r="T10" s="32"/>
      <c r="U10" s="32"/>
      <c r="V10" s="32"/>
      <c r="W10" s="32"/>
      <c r="X10" s="32"/>
      <c r="Y10" s="32"/>
      <c r="Z10" s="32"/>
      <c r="AA10" s="32"/>
      <c r="AB10" s="32"/>
      <c r="AC10" s="32"/>
    </row>
    <row r="11" spans="1:29" ht="18" customHeight="1" x14ac:dyDescent="0.2">
      <c r="D11" s="33"/>
      <c r="E11" s="12" t="s">
        <v>17</v>
      </c>
      <c r="F11" s="65"/>
      <c r="G11" s="65"/>
      <c r="H11" s="65"/>
      <c r="I11" s="12" t="s">
        <v>17</v>
      </c>
      <c r="J11" s="65"/>
      <c r="K11" s="65"/>
      <c r="L11" s="65"/>
      <c r="O11"/>
      <c r="P11"/>
      <c r="Q11"/>
      <c r="R11"/>
      <c r="S11"/>
      <c r="T11" s="32"/>
      <c r="U11" s="32"/>
      <c r="V11" s="32"/>
      <c r="W11" s="32"/>
      <c r="X11" s="32"/>
      <c r="Y11" s="32"/>
      <c r="Z11" s="32"/>
      <c r="AA11" s="32"/>
      <c r="AB11" s="32"/>
      <c r="AC11" s="32"/>
    </row>
    <row r="12" spans="1:29" s="4" customFormat="1" ht="29.25" customHeight="1" x14ac:dyDescent="0.2">
      <c r="A12" s="34">
        <v>0</v>
      </c>
      <c r="B12" s="34"/>
      <c r="D12" s="33"/>
      <c r="E12" s="12" t="s">
        <v>18</v>
      </c>
      <c r="F12" s="70"/>
      <c r="G12" s="70"/>
      <c r="H12" s="70"/>
      <c r="I12" s="12" t="s">
        <v>18</v>
      </c>
      <c r="J12" s="70"/>
      <c r="K12" s="70"/>
      <c r="L12" s="70"/>
      <c r="N12" s="35"/>
      <c r="O12"/>
      <c r="P12"/>
      <c r="Q12"/>
      <c r="R12"/>
      <c r="S12"/>
      <c r="T12" s="32"/>
      <c r="U12" s="32"/>
      <c r="V12" s="32"/>
      <c r="W12" s="32"/>
      <c r="X12" s="32"/>
      <c r="Y12" s="32"/>
      <c r="Z12" s="32"/>
      <c r="AA12" s="32"/>
      <c r="AB12" s="32"/>
      <c r="AC12" s="32"/>
    </row>
    <row r="13" spans="1:29" s="4" customFormat="1" ht="18" customHeight="1" x14ac:dyDescent="0.2">
      <c r="A13" s="34">
        <v>0</v>
      </c>
      <c r="B13" s="34"/>
      <c r="D13" s="33"/>
      <c r="E13" s="12" t="s">
        <v>19</v>
      </c>
      <c r="F13" s="65"/>
      <c r="G13" s="65"/>
      <c r="H13" s="65"/>
      <c r="I13" s="12" t="s">
        <v>19</v>
      </c>
      <c r="J13" s="65"/>
      <c r="K13" s="65"/>
      <c r="L13" s="65"/>
      <c r="N13" s="35"/>
      <c r="O13"/>
      <c r="P13"/>
      <c r="Q13"/>
      <c r="R13"/>
      <c r="S13"/>
      <c r="T13" s="32"/>
      <c r="U13" s="32"/>
      <c r="V13" s="32"/>
      <c r="W13" s="32"/>
      <c r="X13" s="32"/>
      <c r="Y13" s="32"/>
      <c r="Z13" s="32"/>
      <c r="AA13" s="32"/>
      <c r="AB13" s="32"/>
      <c r="AC13" s="32"/>
    </row>
    <row r="14" spans="1:29" s="4" customFormat="1" ht="18" hidden="1" customHeight="1" x14ac:dyDescent="0.2">
      <c r="A14" s="34">
        <v>0.08</v>
      </c>
      <c r="B14" s="34"/>
      <c r="D14" s="33"/>
      <c r="E14" s="12"/>
      <c r="F14" s="65"/>
      <c r="G14" s="65"/>
      <c r="H14" s="65"/>
      <c r="I14" s="12"/>
      <c r="J14" s="62"/>
      <c r="L14" s="62"/>
      <c r="N14" s="35"/>
      <c r="O14"/>
      <c r="P14"/>
      <c r="Q14"/>
      <c r="R14"/>
      <c r="S14"/>
      <c r="T14" s="32"/>
      <c r="U14" s="32"/>
      <c r="V14" s="32"/>
      <c r="W14" s="32"/>
      <c r="X14" s="32"/>
      <c r="Y14" s="32"/>
      <c r="Z14" s="32"/>
      <c r="AA14" s="32"/>
      <c r="AB14" s="32"/>
      <c r="AC14" s="32"/>
    </row>
    <row r="15" spans="1:29" s="4" customFormat="1" ht="18" customHeight="1" x14ac:dyDescent="0.2">
      <c r="A15" s="34"/>
      <c r="B15" s="34"/>
      <c r="D15" s="33"/>
      <c r="E15" s="12" t="s">
        <v>20</v>
      </c>
      <c r="F15" s="65"/>
      <c r="G15" s="65"/>
      <c r="H15" s="65"/>
      <c r="I15" s="12" t="s">
        <v>20</v>
      </c>
      <c r="J15" s="65"/>
      <c r="K15" s="65"/>
      <c r="L15" s="65"/>
      <c r="N15" s="35"/>
      <c r="O15"/>
      <c r="P15"/>
      <c r="Q15"/>
      <c r="R15"/>
      <c r="S15"/>
      <c r="T15"/>
      <c r="U15"/>
      <c r="V15"/>
      <c r="W15" s="32"/>
      <c r="X15" s="32"/>
      <c r="Y15" s="32"/>
      <c r="Z15" s="32"/>
      <c r="AA15" s="32"/>
      <c r="AB15" s="32"/>
      <c r="AC15" s="32"/>
    </row>
    <row r="16" spans="1:29" s="4" customFormat="1" ht="18" customHeight="1" x14ac:dyDescent="0.2">
      <c r="A16" s="34">
        <v>0.06</v>
      </c>
      <c r="B16" s="34"/>
      <c r="D16" s="33"/>
      <c r="E16" s="12" t="s">
        <v>21</v>
      </c>
      <c r="F16" s="65"/>
      <c r="G16" s="65"/>
      <c r="H16" s="65"/>
      <c r="I16" s="12" t="s">
        <v>22</v>
      </c>
      <c r="J16" s="65"/>
      <c r="K16" s="65"/>
      <c r="L16" s="65"/>
      <c r="N16" s="35"/>
      <c r="O16"/>
      <c r="P16"/>
      <c r="Q16"/>
      <c r="R16"/>
      <c r="S16"/>
      <c r="T16"/>
      <c r="U16"/>
      <c r="V16"/>
      <c r="W16" s="32"/>
      <c r="X16" s="32"/>
      <c r="Y16" s="32"/>
      <c r="Z16" s="32"/>
      <c r="AA16" s="32"/>
      <c r="AB16" s="32"/>
      <c r="AC16" s="32"/>
    </row>
    <row r="17" spans="1:29" s="4" customFormat="1" ht="18" customHeight="1" x14ac:dyDescent="0.2">
      <c r="A17" s="34"/>
      <c r="B17" s="34"/>
      <c r="D17" s="33"/>
      <c r="E17" s="12" t="s">
        <v>23</v>
      </c>
      <c r="F17" s="65"/>
      <c r="G17" s="65"/>
      <c r="H17" s="65"/>
      <c r="I17" s="12"/>
      <c r="N17" s="35"/>
      <c r="O17"/>
      <c r="P17"/>
      <c r="Q17"/>
      <c r="R17"/>
      <c r="S17"/>
      <c r="T17"/>
      <c r="U17"/>
      <c r="V17"/>
      <c r="W17" s="32"/>
      <c r="X17" s="32"/>
      <c r="Y17" s="32"/>
      <c r="Z17" s="32"/>
      <c r="AA17" s="32"/>
      <c r="AB17" s="32"/>
      <c r="AC17" s="32"/>
    </row>
    <row r="18" spans="1:29" s="4" customFormat="1" ht="2.25" customHeight="1" x14ac:dyDescent="0.2">
      <c r="A18" s="34"/>
      <c r="B18" s="34"/>
      <c r="F18" s="8"/>
      <c r="G18" s="8"/>
      <c r="H18" s="8"/>
      <c r="I18" s="8"/>
      <c r="N18" s="35"/>
      <c r="O18"/>
      <c r="P18"/>
      <c r="Q18"/>
      <c r="R18"/>
      <c r="S18"/>
      <c r="T18"/>
      <c r="U18"/>
      <c r="V18"/>
      <c r="W18" s="32"/>
      <c r="X18" s="32"/>
      <c r="Y18" s="32"/>
      <c r="Z18" s="32"/>
      <c r="AA18" s="32"/>
      <c r="AB18" s="32"/>
      <c r="AC18" s="32"/>
    </row>
    <row r="19" spans="1:29" s="4" customFormat="1" ht="18" customHeight="1" x14ac:dyDescent="0.2">
      <c r="A19" s="34"/>
      <c r="B19" s="34"/>
      <c r="D19" s="64" t="s">
        <v>24</v>
      </c>
      <c r="E19" s="64"/>
      <c r="F19" s="64" t="s">
        <v>25</v>
      </c>
      <c r="G19" s="64"/>
      <c r="H19" s="61" t="s">
        <v>26</v>
      </c>
      <c r="I19" s="61" t="s">
        <v>27</v>
      </c>
      <c r="J19" s="64" t="s">
        <v>28</v>
      </c>
      <c r="K19" s="64"/>
      <c r="L19" s="61" t="s">
        <v>29</v>
      </c>
      <c r="M19" s="21"/>
      <c r="N19" s="35"/>
      <c r="O19"/>
      <c r="P19"/>
      <c r="Q19"/>
      <c r="R19"/>
      <c r="S19"/>
      <c r="T19"/>
      <c r="U19"/>
      <c r="V19"/>
      <c r="W19" s="32"/>
      <c r="X19" s="32"/>
      <c r="Y19" s="32"/>
      <c r="Z19" s="32"/>
      <c r="AA19" s="32"/>
      <c r="AB19" s="32"/>
      <c r="AC19" s="32"/>
    </row>
    <row r="20" spans="1:29" s="4" customFormat="1" ht="18" customHeight="1" x14ac:dyDescent="0.2">
      <c r="A20" s="34"/>
      <c r="B20" s="34"/>
      <c r="D20" s="66"/>
      <c r="E20" s="66"/>
      <c r="F20" s="66"/>
      <c r="G20" s="66"/>
      <c r="H20" s="9"/>
      <c r="I20" s="9"/>
      <c r="J20" s="66"/>
      <c r="K20" s="66"/>
      <c r="L20" s="9"/>
      <c r="N20" s="35"/>
      <c r="O20"/>
      <c r="P20"/>
      <c r="Q20"/>
      <c r="R20"/>
      <c r="S20"/>
      <c r="T20" s="32"/>
      <c r="U20" s="32"/>
      <c r="V20" s="32"/>
      <c r="W20" s="32"/>
      <c r="X20" s="32"/>
      <c r="Y20" s="32"/>
      <c r="Z20" s="32"/>
      <c r="AA20" s="32"/>
      <c r="AB20" s="32"/>
      <c r="AC20" s="32"/>
    </row>
    <row r="21" spans="1:29" s="4" customFormat="1" ht="3.75" customHeight="1" x14ac:dyDescent="0.2">
      <c r="A21" s="34"/>
      <c r="B21" s="34"/>
      <c r="N21" s="35"/>
      <c r="O21"/>
      <c r="P21"/>
      <c r="Q21"/>
      <c r="R21"/>
      <c r="S21"/>
      <c r="T21" s="32"/>
      <c r="U21" s="32"/>
      <c r="V21" s="32"/>
      <c r="W21" s="32"/>
      <c r="X21" s="32"/>
      <c r="Y21" s="32"/>
      <c r="Z21" s="32"/>
      <c r="AA21" s="32"/>
      <c r="AB21" s="32"/>
      <c r="AC21" s="32"/>
    </row>
    <row r="22" spans="1:29" s="4" customFormat="1" ht="18" customHeight="1" x14ac:dyDescent="0.2">
      <c r="A22" s="34" t="s">
        <v>30</v>
      </c>
      <c r="B22" s="34" t="s">
        <v>31</v>
      </c>
      <c r="D22" s="64" t="s">
        <v>32</v>
      </c>
      <c r="E22" s="64"/>
      <c r="F22" s="108" t="s">
        <v>33</v>
      </c>
      <c r="G22" s="109"/>
      <c r="H22" s="109"/>
      <c r="I22" s="110"/>
      <c r="J22" s="61" t="s">
        <v>34</v>
      </c>
      <c r="K22" s="61" t="s">
        <v>35</v>
      </c>
      <c r="L22" s="61" t="s">
        <v>36</v>
      </c>
      <c r="M22" s="21"/>
      <c r="N22" s="35"/>
      <c r="O22"/>
      <c r="P22"/>
      <c r="Q22"/>
      <c r="R22"/>
      <c r="S22"/>
      <c r="T22" s="32"/>
      <c r="U22" s="32"/>
      <c r="V22" s="32"/>
      <c r="W22" s="32"/>
      <c r="X22" s="32"/>
      <c r="Y22" s="32"/>
      <c r="Z22" s="32"/>
      <c r="AA22" s="32"/>
      <c r="AB22" s="32"/>
      <c r="AC22" s="32"/>
    </row>
    <row r="23" spans="1:29" s="4" customFormat="1" ht="18" customHeight="1" x14ac:dyDescent="0.2">
      <c r="A23" s="8">
        <v>0</v>
      </c>
      <c r="B23" s="8">
        <v>0</v>
      </c>
      <c r="D23" s="111"/>
      <c r="E23" s="112"/>
      <c r="F23" s="103"/>
      <c r="G23" s="104"/>
      <c r="H23" s="104"/>
      <c r="I23" s="105"/>
      <c r="J23" s="46">
        <v>0</v>
      </c>
      <c r="K23" s="13">
        <v>0</v>
      </c>
      <c r="L23" s="47">
        <f>ROUND(oknQuantity_1*oknPrice_1,2)</f>
        <v>0</v>
      </c>
      <c r="M23" s="2"/>
      <c r="N23" s="35"/>
      <c r="O23"/>
      <c r="P23"/>
      <c r="Q23"/>
      <c r="R23"/>
      <c r="S23"/>
      <c r="T23" s="32"/>
      <c r="U23" s="32"/>
      <c r="V23" s="32"/>
      <c r="W23" s="32"/>
      <c r="X23" s="32"/>
      <c r="Y23" s="32"/>
      <c r="Z23" s="32"/>
      <c r="AA23" s="32"/>
      <c r="AB23" s="32"/>
      <c r="AC23" s="32"/>
    </row>
    <row r="24" spans="1:29" s="4" customFormat="1" ht="18" customHeight="1" x14ac:dyDescent="0.2">
      <c r="A24" s="8">
        <v>0</v>
      </c>
      <c r="B24" s="8">
        <v>0</v>
      </c>
      <c r="D24" s="99"/>
      <c r="E24" s="100"/>
      <c r="F24" s="74"/>
      <c r="G24" s="75"/>
      <c r="H24" s="75"/>
      <c r="I24" s="76"/>
      <c r="J24" s="48">
        <v>0</v>
      </c>
      <c r="K24" s="14">
        <v>0</v>
      </c>
      <c r="L24" s="49">
        <f>ROUND(oknQuantity_2*oknPrice_2,2)</f>
        <v>0</v>
      </c>
      <c r="M24" s="3"/>
      <c r="N24" s="35"/>
      <c r="O24"/>
      <c r="P24"/>
      <c r="Q24"/>
      <c r="R24"/>
      <c r="S24"/>
      <c r="T24" s="32"/>
      <c r="U24" s="32"/>
      <c r="V24" s="32"/>
      <c r="W24" s="32"/>
      <c r="X24" s="32"/>
      <c r="Y24" s="32"/>
      <c r="Z24" s="32"/>
      <c r="AA24" s="32"/>
      <c r="AB24" s="32"/>
      <c r="AC24" s="32"/>
    </row>
    <row r="25" spans="1:29" s="4" customFormat="1" ht="18" customHeight="1" x14ac:dyDescent="0.2">
      <c r="A25" s="8">
        <v>0</v>
      </c>
      <c r="B25" s="8">
        <v>0</v>
      </c>
      <c r="D25" s="97"/>
      <c r="E25" s="98"/>
      <c r="F25" s="95"/>
      <c r="G25" s="65"/>
      <c r="H25" s="65"/>
      <c r="I25" s="96"/>
      <c r="J25" s="50">
        <v>0</v>
      </c>
      <c r="K25" s="15">
        <v>0</v>
      </c>
      <c r="L25" s="51">
        <f>ROUND(oknQuantity_3*oknPrice_3,2)</f>
        <v>0</v>
      </c>
      <c r="M25" s="3"/>
      <c r="N25" s="35"/>
      <c r="O25"/>
      <c r="P25"/>
      <c r="Q25"/>
      <c r="R25"/>
      <c r="S25"/>
      <c r="T25" s="32"/>
      <c r="U25" s="32"/>
      <c r="V25" s="32"/>
      <c r="W25" s="32"/>
      <c r="X25" s="32"/>
      <c r="Y25" s="32"/>
      <c r="Z25" s="32"/>
      <c r="AA25" s="32"/>
      <c r="AB25" s="32"/>
      <c r="AC25" s="32"/>
    </row>
    <row r="26" spans="1:29" s="4" customFormat="1" ht="18" customHeight="1" x14ac:dyDescent="0.2">
      <c r="A26" s="8">
        <v>0</v>
      </c>
      <c r="B26" s="8">
        <v>0</v>
      </c>
      <c r="D26" s="99"/>
      <c r="E26" s="100"/>
      <c r="F26" s="74"/>
      <c r="G26" s="75"/>
      <c r="H26" s="75"/>
      <c r="I26" s="76"/>
      <c r="J26" s="48">
        <v>0</v>
      </c>
      <c r="K26" s="14">
        <v>0</v>
      </c>
      <c r="L26" s="49">
        <f>ROUND(oknQuantity_4*oknPrice_4,2)</f>
        <v>0</v>
      </c>
      <c r="M26" s="3"/>
      <c r="N26" s="35"/>
      <c r="O26"/>
      <c r="P26"/>
      <c r="Q26"/>
      <c r="R26"/>
      <c r="S26"/>
      <c r="T26" s="32"/>
      <c r="U26" s="32"/>
      <c r="V26" s="32"/>
      <c r="W26" s="32"/>
      <c r="X26" s="32"/>
      <c r="Y26" s="32"/>
      <c r="Z26" s="32"/>
      <c r="AA26" s="32"/>
      <c r="AB26" s="32"/>
      <c r="AC26" s="32"/>
    </row>
    <row r="27" spans="1:29" s="4" customFormat="1" ht="18" customHeight="1" x14ac:dyDescent="0.2">
      <c r="A27" s="8">
        <v>0</v>
      </c>
      <c r="B27" s="8">
        <v>0</v>
      </c>
      <c r="D27" s="97"/>
      <c r="E27" s="98"/>
      <c r="F27" s="95"/>
      <c r="G27" s="65"/>
      <c r="H27" s="65"/>
      <c r="I27" s="96"/>
      <c r="J27" s="50">
        <v>0</v>
      </c>
      <c r="K27" s="15">
        <v>0</v>
      </c>
      <c r="L27" s="51">
        <f>ROUND(oknQuantity_5*oknPrice_5,2)</f>
        <v>0</v>
      </c>
      <c r="M27" s="3"/>
      <c r="N27" s="35"/>
      <c r="O27"/>
      <c r="P27"/>
      <c r="Q27"/>
      <c r="R27"/>
      <c r="S27"/>
      <c r="T27" s="32"/>
      <c r="U27" s="32"/>
      <c r="V27" s="32"/>
      <c r="W27" s="32"/>
      <c r="X27" s="32"/>
      <c r="Y27" s="32"/>
      <c r="Z27" s="32"/>
      <c r="AA27" s="32"/>
      <c r="AB27" s="32"/>
      <c r="AC27" s="32"/>
    </row>
    <row r="28" spans="1:29" s="4" customFormat="1" ht="18" customHeight="1" x14ac:dyDescent="0.2">
      <c r="A28" s="8">
        <v>0</v>
      </c>
      <c r="B28" s="8">
        <v>0</v>
      </c>
      <c r="D28" s="99"/>
      <c r="E28" s="100"/>
      <c r="F28" s="74"/>
      <c r="G28" s="75"/>
      <c r="H28" s="75"/>
      <c r="I28" s="76"/>
      <c r="J28" s="48">
        <v>0</v>
      </c>
      <c r="K28" s="14">
        <v>0</v>
      </c>
      <c r="L28" s="49">
        <f>ROUND(oknQuantity_6*oknPrice_6,2)</f>
        <v>0</v>
      </c>
      <c r="M28" s="3"/>
      <c r="N28" s="35"/>
      <c r="O28"/>
      <c r="P28"/>
      <c r="Q28"/>
      <c r="R28"/>
      <c r="S28"/>
      <c r="T28" s="32"/>
      <c r="U28" s="32"/>
      <c r="V28" s="32"/>
      <c r="W28" s="32"/>
      <c r="X28" s="32"/>
      <c r="Y28" s="32"/>
      <c r="Z28" s="32"/>
      <c r="AA28" s="32"/>
      <c r="AB28" s="32"/>
      <c r="AC28" s="32"/>
    </row>
    <row r="29" spans="1:29" s="4" customFormat="1" ht="18" customHeight="1" x14ac:dyDescent="0.2">
      <c r="A29" s="8">
        <v>0</v>
      </c>
      <c r="B29" s="8">
        <v>0</v>
      </c>
      <c r="D29" s="97"/>
      <c r="E29" s="98"/>
      <c r="F29" s="95"/>
      <c r="G29" s="65"/>
      <c r="H29" s="65"/>
      <c r="I29" s="96"/>
      <c r="J29" s="50">
        <v>0</v>
      </c>
      <c r="K29" s="15">
        <v>0</v>
      </c>
      <c r="L29" s="51">
        <f>ROUND(oknQuantity_7*oknPrice_7,2)</f>
        <v>0</v>
      </c>
      <c r="M29" s="3"/>
      <c r="N29" s="35"/>
      <c r="O29"/>
      <c r="P29"/>
      <c r="Q29"/>
      <c r="R29"/>
      <c r="S29"/>
      <c r="T29" s="32"/>
      <c r="U29" s="32"/>
      <c r="V29" s="32"/>
      <c r="W29" s="32"/>
      <c r="X29" s="32"/>
      <c r="Y29" s="32"/>
      <c r="Z29" s="32"/>
      <c r="AA29" s="32"/>
      <c r="AB29" s="32"/>
      <c r="AC29" s="32"/>
    </row>
    <row r="30" spans="1:29" s="4" customFormat="1" ht="18" customHeight="1" x14ac:dyDescent="0.2">
      <c r="A30" s="8">
        <v>0</v>
      </c>
      <c r="B30" s="8">
        <v>0</v>
      </c>
      <c r="D30" s="99"/>
      <c r="E30" s="100"/>
      <c r="F30" s="74"/>
      <c r="G30" s="75"/>
      <c r="H30" s="75"/>
      <c r="I30" s="76"/>
      <c r="J30" s="48">
        <v>0</v>
      </c>
      <c r="K30" s="14">
        <v>0</v>
      </c>
      <c r="L30" s="49">
        <f>ROUND(oknQuantity_8*oknPrice_8,2)</f>
        <v>0</v>
      </c>
      <c r="M30" s="3"/>
      <c r="N30" s="35"/>
      <c r="O30"/>
      <c r="P30"/>
      <c r="Q30"/>
      <c r="R30"/>
      <c r="S30"/>
      <c r="T30" s="32"/>
      <c r="U30" s="32"/>
      <c r="V30" s="32"/>
      <c r="W30" s="32"/>
      <c r="X30" s="32"/>
      <c r="Y30" s="32"/>
      <c r="Z30" s="32"/>
      <c r="AA30" s="32"/>
      <c r="AB30" s="32"/>
      <c r="AC30" s="32"/>
    </row>
    <row r="31" spans="1:29" s="4" customFormat="1" ht="18" customHeight="1" x14ac:dyDescent="0.2">
      <c r="A31" s="8">
        <v>0</v>
      </c>
      <c r="B31" s="8">
        <v>0</v>
      </c>
      <c r="D31" s="97"/>
      <c r="E31" s="98"/>
      <c r="F31" s="95"/>
      <c r="G31" s="65"/>
      <c r="H31" s="65"/>
      <c r="I31" s="96"/>
      <c r="J31" s="50">
        <v>0</v>
      </c>
      <c r="K31" s="15">
        <v>0</v>
      </c>
      <c r="L31" s="51">
        <f>ROUND(oknQuantity_9*oknPrice_9,2)</f>
        <v>0</v>
      </c>
      <c r="M31" s="3"/>
      <c r="N31" s="35"/>
      <c r="O31"/>
      <c r="P31"/>
      <c r="Q31"/>
      <c r="S31"/>
      <c r="T31" s="32"/>
      <c r="U31" s="32"/>
      <c r="V31" s="32"/>
      <c r="W31" s="32"/>
      <c r="X31" s="32"/>
      <c r="Y31" s="32"/>
      <c r="Z31" s="32"/>
      <c r="AA31" s="32"/>
      <c r="AB31" s="32"/>
      <c r="AC31" s="32"/>
    </row>
    <row r="32" spans="1:29" s="4" customFormat="1" ht="18" customHeight="1" x14ac:dyDescent="0.2">
      <c r="A32" s="8">
        <v>0</v>
      </c>
      <c r="B32" s="8">
        <v>0</v>
      </c>
      <c r="D32" s="99"/>
      <c r="E32" s="100"/>
      <c r="F32" s="74"/>
      <c r="G32" s="75"/>
      <c r="H32" s="75"/>
      <c r="I32" s="76"/>
      <c r="J32" s="48">
        <v>0</v>
      </c>
      <c r="K32" s="14">
        <v>0</v>
      </c>
      <c r="L32" s="49">
        <f>ROUND(oknQuantity_10*oknPrice_10,2)</f>
        <v>0</v>
      </c>
      <c r="M32" s="3"/>
      <c r="N32" s="35"/>
      <c r="O32"/>
      <c r="P32"/>
      <c r="Q32"/>
      <c r="S32"/>
      <c r="T32" s="32"/>
      <c r="U32" s="32"/>
      <c r="V32" s="32"/>
      <c r="W32" s="32"/>
      <c r="X32" s="32"/>
    </row>
    <row r="33" spans="1:28" s="4" customFormat="1" ht="18" customHeight="1" x14ac:dyDescent="0.2">
      <c r="A33" s="8">
        <v>0</v>
      </c>
      <c r="B33" s="8">
        <v>0</v>
      </c>
      <c r="D33" s="97"/>
      <c r="E33" s="98"/>
      <c r="F33" s="95"/>
      <c r="G33" s="65"/>
      <c r="H33" s="65"/>
      <c r="I33" s="96"/>
      <c r="J33" s="50">
        <v>0</v>
      </c>
      <c r="K33" s="15">
        <v>0</v>
      </c>
      <c r="L33" s="51">
        <f>ROUND(oknQuantity_11*oknPrice_11,2)</f>
        <v>0</v>
      </c>
      <c r="M33" s="3"/>
      <c r="N33" s="35"/>
      <c r="O33"/>
      <c r="P33"/>
      <c r="Q33"/>
      <c r="R33"/>
      <c r="S33"/>
      <c r="T33" s="32"/>
      <c r="U33" s="32"/>
      <c r="V33" s="32"/>
      <c r="W33" s="32"/>
      <c r="X33" s="32"/>
    </row>
    <row r="34" spans="1:28" s="4" customFormat="1" ht="18" customHeight="1" x14ac:dyDescent="0.2">
      <c r="A34" s="8">
        <v>0</v>
      </c>
      <c r="B34" s="8">
        <v>0</v>
      </c>
      <c r="D34" s="101"/>
      <c r="E34" s="102"/>
      <c r="F34" s="92"/>
      <c r="G34" s="93"/>
      <c r="H34" s="93"/>
      <c r="I34" s="94"/>
      <c r="J34" s="52">
        <v>0</v>
      </c>
      <c r="K34" s="16">
        <v>0</v>
      </c>
      <c r="L34" s="53">
        <f>ROUND(oknQuantity_12*oknPrice_12,2)</f>
        <v>0</v>
      </c>
      <c r="M34" s="3"/>
      <c r="N34" s="35"/>
      <c r="T34" s="32"/>
      <c r="U34" s="32"/>
      <c r="V34" s="32"/>
      <c r="W34" s="32"/>
      <c r="X34" s="32"/>
    </row>
    <row r="35" spans="1:28" s="4" customFormat="1" ht="18" customHeight="1" x14ac:dyDescent="0.2">
      <c r="A35" s="34"/>
      <c r="B35" s="37">
        <f t="array" ref="B35">SUM(oknTaxable_1:oknTaxable_12*oknLineTotal_1:oknLineTotal_12)</f>
        <v>0</v>
      </c>
      <c r="K35" s="17" t="s">
        <v>37</v>
      </c>
      <c r="L35" s="18">
        <f>SUM(oknLineTotal_1:oknLineTotal_12)</f>
        <v>0</v>
      </c>
      <c r="M35" s="2"/>
      <c r="N35" s="35"/>
      <c r="T35" s="32"/>
      <c r="U35" s="32"/>
      <c r="V35" s="32"/>
      <c r="W35" s="32"/>
      <c r="X35" s="32"/>
    </row>
    <row r="36" spans="1:28" s="4" customFormat="1" ht="18" customHeight="1" x14ac:dyDescent="0.2">
      <c r="A36" s="34"/>
      <c r="B36" s="34"/>
      <c r="E36" s="39"/>
      <c r="J36" s="19" t="s">
        <v>38</v>
      </c>
      <c r="K36" s="20">
        <v>0.08</v>
      </c>
      <c r="L36" s="18">
        <f>ROUND(IF(oknTaxType=0,0, oknTax1Rate*(oknSubTotal+IF(oknTaxTotalIncludingShippingCost=0,0,oknShippingCost))),2)</f>
        <v>0</v>
      </c>
      <c r="M36" s="2"/>
      <c r="N36" s="35"/>
      <c r="O36" s="36"/>
      <c r="T36" s="32"/>
      <c r="U36" s="32"/>
      <c r="V36" s="32"/>
      <c r="W36" s="32"/>
      <c r="X36" s="32"/>
      <c r="AA36" s="1"/>
      <c r="AB36" s="1"/>
    </row>
    <row r="37" spans="1:28" s="4" customFormat="1" ht="18" customHeight="1" x14ac:dyDescent="0.2">
      <c r="A37" s="34"/>
      <c r="B37" s="34"/>
      <c r="E37" s="39"/>
      <c r="F37" s="39"/>
      <c r="G37" s="39"/>
      <c r="H37" s="39"/>
      <c r="I37" s="39"/>
      <c r="J37" s="19" t="s">
        <v>39</v>
      </c>
      <c r="K37" s="20">
        <v>0.06</v>
      </c>
      <c r="L37" s="18">
        <f>ROUND(IF(oknTaxType&lt;&gt;2,0,oknTax2Rate*(oknSubTotal+IF(oknTaxTotalIncludingShippingCost=0,0,oknShippingCost)+IF(oknTax2IsAppliedToTax1=0,0,oknTax1))),2)</f>
        <v>0</v>
      </c>
      <c r="M37" s="40"/>
      <c r="N37" s="35"/>
      <c r="T37" s="32"/>
      <c r="U37" s="32"/>
      <c r="V37" s="32"/>
      <c r="W37" s="32"/>
      <c r="X37" s="32"/>
      <c r="AA37" s="1"/>
      <c r="AB37" s="1"/>
    </row>
    <row r="38" spans="1:28" s="4" customFormat="1" ht="18" customHeight="1" x14ac:dyDescent="0.2">
      <c r="A38" s="34"/>
      <c r="B38" s="34"/>
      <c r="D38" s="21" t="s">
        <v>40</v>
      </c>
      <c r="E38" s="39"/>
      <c r="F38" s="39"/>
      <c r="G38" s="39"/>
      <c r="H38" s="39"/>
      <c r="I38" s="39"/>
      <c r="K38" s="17" t="s">
        <v>41</v>
      </c>
      <c r="L38" s="22">
        <v>0</v>
      </c>
      <c r="M38" s="5"/>
      <c r="N38" s="35"/>
      <c r="T38" s="32"/>
      <c r="U38" s="32"/>
      <c r="V38" s="32"/>
      <c r="W38" s="32"/>
      <c r="X38" s="32"/>
      <c r="AA38" s="1"/>
      <c r="AB38" s="1"/>
    </row>
    <row r="39" spans="1:28" s="4" customFormat="1" ht="18" customHeight="1" x14ac:dyDescent="0.2">
      <c r="A39" s="34"/>
      <c r="B39" s="34"/>
      <c r="D39" s="81"/>
      <c r="E39" s="82"/>
      <c r="F39" s="82"/>
      <c r="G39" s="82"/>
      <c r="H39" s="83"/>
      <c r="I39" s="63"/>
      <c r="K39" s="23" t="s">
        <v>42</v>
      </c>
      <c r="L39" s="18">
        <f>ROUND(oknSubTotal + oknShippingCost + IF(oknTaxType=0,0,IF(oknTaxType=1,oknTax1,oknTax1+oknTax2)),2)</f>
        <v>0</v>
      </c>
      <c r="M39" s="2"/>
      <c r="N39" s="35"/>
      <c r="T39" s="32"/>
      <c r="U39" s="32"/>
      <c r="V39" s="32"/>
      <c r="W39" s="32"/>
      <c r="X39" s="32"/>
      <c r="AA39" s="1"/>
      <c r="AB39" s="1"/>
    </row>
    <row r="40" spans="1:28" s="4" customFormat="1" ht="18" customHeight="1" x14ac:dyDescent="0.2">
      <c r="A40" s="34"/>
      <c r="B40" s="41"/>
      <c r="D40" s="84"/>
      <c r="E40" s="85"/>
      <c r="F40" s="85"/>
      <c r="G40" s="85"/>
      <c r="H40" s="86"/>
      <c r="I40" s="63"/>
      <c r="K40" s="23" t="s">
        <v>43</v>
      </c>
      <c r="L40" s="18">
        <f>oknPayments</f>
        <v>0</v>
      </c>
      <c r="N40" s="35"/>
      <c r="O40" s="1"/>
      <c r="P40" s="1"/>
      <c r="T40" s="32"/>
      <c r="U40" s="32"/>
      <c r="V40" s="32"/>
      <c r="W40" s="32"/>
      <c r="X40" s="32"/>
      <c r="AA40" s="1"/>
      <c r="AB40" s="1"/>
    </row>
    <row r="41" spans="1:28" s="4" customFormat="1" ht="18" customHeight="1" x14ac:dyDescent="0.2">
      <c r="A41" s="34"/>
      <c r="B41" s="34"/>
      <c r="D41" s="87"/>
      <c r="E41" s="88"/>
      <c r="F41" s="88"/>
      <c r="G41" s="88"/>
      <c r="H41" s="89"/>
      <c r="I41" s="63"/>
      <c r="K41" s="23" t="s">
        <v>44</v>
      </c>
      <c r="L41" s="18">
        <f>ROUND(oknTotal-oknPayments,2)</f>
        <v>0</v>
      </c>
      <c r="N41" s="35"/>
      <c r="O41" s="1"/>
      <c r="P41" s="1"/>
      <c r="T41" s="32"/>
      <c r="U41" s="32"/>
      <c r="V41" s="32"/>
      <c r="W41" s="32"/>
      <c r="X41" s="32"/>
      <c r="AA41" s="1"/>
      <c r="AB41" s="1"/>
    </row>
    <row r="42" spans="1:28" ht="18.75" hidden="1" customHeight="1" x14ac:dyDescent="0.2">
      <c r="D42" s="29" t="s">
        <v>45</v>
      </c>
      <c r="T42" s="32"/>
      <c r="U42" s="32"/>
      <c r="V42" s="32"/>
      <c r="W42" s="32"/>
      <c r="X42" s="32"/>
    </row>
    <row r="43" spans="1:28" ht="18.75" hidden="1" customHeight="1" x14ac:dyDescent="0.2">
      <c r="D43" s="90" t="s">
        <v>46</v>
      </c>
      <c r="E43" s="91"/>
      <c r="F43" s="42" t="s">
        <v>42</v>
      </c>
      <c r="G43" s="42">
        <v>0</v>
      </c>
      <c r="H43" s="42" t="s">
        <v>47</v>
      </c>
      <c r="I43" s="43"/>
      <c r="J43" s="79"/>
      <c r="K43" s="80"/>
      <c r="L43" s="44" t="s">
        <v>48</v>
      </c>
      <c r="T43" s="32"/>
      <c r="U43" s="32"/>
      <c r="V43" s="32"/>
      <c r="W43" s="32"/>
      <c r="X43" s="32"/>
    </row>
    <row r="44" spans="1:28" ht="18.75" hidden="1" customHeight="1" x14ac:dyDescent="0.2">
      <c r="D44" s="45"/>
      <c r="E44" s="45"/>
      <c r="F44" s="8"/>
      <c r="G44" s="8"/>
      <c r="H44" s="8"/>
      <c r="I44" s="8"/>
      <c r="J44" s="8"/>
      <c r="K44" s="8"/>
      <c r="L44" s="8"/>
      <c r="T44" s="32"/>
      <c r="U44" s="32"/>
      <c r="V44" s="32"/>
      <c r="W44" s="32"/>
      <c r="X44" s="32"/>
    </row>
    <row r="45" spans="1:28" ht="18.75" hidden="1" customHeight="1" x14ac:dyDescent="0.2">
      <c r="D45" s="45"/>
      <c r="E45" s="45"/>
      <c r="F45" s="8"/>
      <c r="G45" s="8"/>
      <c r="H45" s="8"/>
      <c r="I45" s="8"/>
      <c r="J45" s="8"/>
      <c r="K45" s="8"/>
      <c r="L45" s="8"/>
      <c r="T45" s="32"/>
      <c r="U45" s="32"/>
      <c r="V45" s="32"/>
      <c r="W45" s="32"/>
      <c r="X45" s="32"/>
    </row>
    <row r="46" spans="1:28" ht="9" customHeight="1" x14ac:dyDescent="0.2">
      <c r="D46" s="45"/>
      <c r="E46" s="45"/>
      <c r="F46" s="8"/>
      <c r="G46" s="8"/>
      <c r="H46" s="8"/>
      <c r="I46" s="8"/>
      <c r="J46" s="8"/>
      <c r="K46" s="8"/>
      <c r="L46" s="8"/>
      <c r="T46" s="32"/>
      <c r="U46" s="32"/>
      <c r="V46" s="32"/>
      <c r="W46" s="32"/>
      <c r="X46" s="32"/>
    </row>
    <row r="47" spans="1:28" ht="22.5" customHeight="1" x14ac:dyDescent="0.2">
      <c r="B47" s="4" t="s">
        <v>49</v>
      </c>
      <c r="D47" s="77" t="s">
        <v>50</v>
      </c>
      <c r="E47" s="78"/>
      <c r="F47" s="78"/>
      <c r="G47" s="78"/>
      <c r="H47" s="78"/>
      <c r="I47" s="78"/>
      <c r="J47" s="78"/>
      <c r="K47" s="78"/>
      <c r="L47" s="78"/>
    </row>
    <row r="48" spans="1:28" x14ac:dyDescent="0.2">
      <c r="B48" s="7">
        <v>0</v>
      </c>
    </row>
    <row r="49" spans="1:9" ht="15" x14ac:dyDescent="0.2">
      <c r="A49" s="4" t="s">
        <v>51</v>
      </c>
      <c r="D49" s="29"/>
      <c r="E49" s="29"/>
      <c r="F49" s="29"/>
      <c r="G49" s="29"/>
      <c r="H49" s="29"/>
      <c r="I49" s="29"/>
    </row>
    <row r="50" spans="1:9" x14ac:dyDescent="0.2">
      <c r="A50" s="38"/>
    </row>
  </sheetData>
  <sheetProtection selectLockedCells="1"/>
  <dataConsolidate/>
  <mergeCells count="60">
    <mergeCell ref="D26:E26"/>
    <mergeCell ref="D27:E27"/>
    <mergeCell ref="D28:E28"/>
    <mergeCell ref="D29:E29"/>
    <mergeCell ref="D30:E30"/>
    <mergeCell ref="D23:E23"/>
    <mergeCell ref="D24:E24"/>
    <mergeCell ref="D25:E25"/>
    <mergeCell ref="A6:B6"/>
    <mergeCell ref="A7:B7"/>
    <mergeCell ref="D10:E10"/>
    <mergeCell ref="D22:E22"/>
    <mergeCell ref="D20:E20"/>
    <mergeCell ref="D19:E19"/>
    <mergeCell ref="F19:G19"/>
    <mergeCell ref="F20:G20"/>
    <mergeCell ref="A4:B4"/>
    <mergeCell ref="A5:B5"/>
    <mergeCell ref="F22:I22"/>
    <mergeCell ref="F12:H12"/>
    <mergeCell ref="F13:H13"/>
    <mergeCell ref="F16:H16"/>
    <mergeCell ref="F15:H15"/>
    <mergeCell ref="F14:H14"/>
    <mergeCell ref="F17:H17"/>
    <mergeCell ref="F23:I23"/>
    <mergeCell ref="F24:I24"/>
    <mergeCell ref="F25:I25"/>
    <mergeCell ref="F26:I26"/>
    <mergeCell ref="F27:I27"/>
    <mergeCell ref="F28:I28"/>
    <mergeCell ref="D47:L47"/>
    <mergeCell ref="J43:K43"/>
    <mergeCell ref="D39:H41"/>
    <mergeCell ref="D43:E43"/>
    <mergeCell ref="F34:I34"/>
    <mergeCell ref="F29:I29"/>
    <mergeCell ref="F30:I30"/>
    <mergeCell ref="F31:I31"/>
    <mergeCell ref="F32:I32"/>
    <mergeCell ref="F33:I33"/>
    <mergeCell ref="D31:E31"/>
    <mergeCell ref="D32:E32"/>
    <mergeCell ref="D33:E33"/>
    <mergeCell ref="D34:E34"/>
    <mergeCell ref="C2:M2"/>
    <mergeCell ref="K5:L5"/>
    <mergeCell ref="K6:L6"/>
    <mergeCell ref="K7:L7"/>
    <mergeCell ref="J11:L11"/>
    <mergeCell ref="F11:H11"/>
    <mergeCell ref="J19:K19"/>
    <mergeCell ref="J15:L15"/>
    <mergeCell ref="J16:L16"/>
    <mergeCell ref="J20:K20"/>
    <mergeCell ref="O4:S4"/>
    <mergeCell ref="O5:S5"/>
    <mergeCell ref="R6:S6"/>
    <mergeCell ref="J12:L12"/>
    <mergeCell ref="J13:L13"/>
  </mergeCells>
  <phoneticPr fontId="1" type="noConversion"/>
  <dataValidations disablePrompts="1" count="3">
    <dataValidation type="decimal" operator="lessThanOrEqual" allowBlank="1" showInputMessage="1" showErrorMessage="1" errorTitle="Invalid Input" error="Please enter a valid numeric_x000a_value." sqref="B40 K36:K37" xr:uid="{00000000-0002-0000-0000-000000000000}">
      <formula1>999999999.99</formula1>
    </dataValidation>
    <dataValidation type="textLength" allowBlank="1" showInputMessage="1" showErrorMessage="1" sqref="E36 E37:I38 I39:I41" xr:uid="{00000000-0002-0000-0000-000001000000}">
      <formula1>1</formula1>
      <formula2>255</formula2>
    </dataValidation>
    <dataValidation type="textLength" allowBlank="1" showInputMessage="1" showErrorMessage="1" sqref="I18 F18:H18" xr:uid="{00000000-0002-0000-0000-000002000000}">
      <formula1>1</formula1>
      <formula2>30</formula2>
    </dataValidation>
  </dataValidations>
  <hyperlinks>
    <hyperlink ref="R6" r:id="rId1" location="lite" xr:uid="{00000000-0004-0000-0000-000001000000}"/>
    <hyperlink ref="R6:S6" r:id="rId2" location="lite" display="Home Page" xr:uid="{A1A96235-6453-42A2-9775-D378F52A1E3C}"/>
  </hyperlinks>
  <printOptions horizontalCentered="1" verticalCentered="1"/>
  <pageMargins left="0.25" right="0.25" top="0.75" bottom="0.75" header="0.3" footer="0.3"/>
  <pageSetup paperSize="9" orientation="portrait" horizontalDpi="300" verticalDpi="300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138</vt:i4>
      </vt:variant>
    </vt:vector>
  </HeadingPairs>
  <TitlesOfParts>
    <vt:vector size="139" baseType="lpstr">
      <vt:lpstr>Invoice</vt:lpstr>
      <vt:lpstr>oknBalanceDue</vt:lpstr>
      <vt:lpstr>oknCompanyAddress</vt:lpstr>
      <vt:lpstr>oknCompanyCityStateZip</vt:lpstr>
      <vt:lpstr>oknCompanyContact</vt:lpstr>
      <vt:lpstr>oknCompanyName</vt:lpstr>
      <vt:lpstr>oknCost_1</vt:lpstr>
      <vt:lpstr>oknCost_10</vt:lpstr>
      <vt:lpstr>oknCost_11</vt:lpstr>
      <vt:lpstr>oknCost_12</vt:lpstr>
      <vt:lpstr>oknCost_2</vt:lpstr>
      <vt:lpstr>oknCost_3</vt:lpstr>
      <vt:lpstr>oknCost_4</vt:lpstr>
      <vt:lpstr>oknCost_5</vt:lpstr>
      <vt:lpstr>oknCost_6</vt:lpstr>
      <vt:lpstr>oknCost_7</vt:lpstr>
      <vt:lpstr>oknCost_8</vt:lpstr>
      <vt:lpstr>oknCost_9</vt:lpstr>
      <vt:lpstr>oknDatabaseName</vt:lpstr>
      <vt:lpstr>oknDueDate</vt:lpstr>
      <vt:lpstr>oknInvoiceDate</vt:lpstr>
      <vt:lpstr>oknInvoiceID</vt:lpstr>
      <vt:lpstr>oknLineTotal_1</vt:lpstr>
      <vt:lpstr>oknLineTotal_10</vt:lpstr>
      <vt:lpstr>oknLineTotal_11</vt:lpstr>
      <vt:lpstr>oknLineTotal_12</vt:lpstr>
      <vt:lpstr>oknLineTotal_2</vt:lpstr>
      <vt:lpstr>oknLineTotal_3</vt:lpstr>
      <vt:lpstr>oknLineTotal_4</vt:lpstr>
      <vt:lpstr>oknLineTotal_5</vt:lpstr>
      <vt:lpstr>oknLineTotal_6</vt:lpstr>
      <vt:lpstr>oknLineTotal_7</vt:lpstr>
      <vt:lpstr>oknLineTotal_8</vt:lpstr>
      <vt:lpstr>oknLineTotal_9</vt:lpstr>
      <vt:lpstr>oknLineTotalTaxable</vt:lpstr>
      <vt:lpstr>oknNotes</vt:lpstr>
      <vt:lpstr>oknOrderID</vt:lpstr>
      <vt:lpstr>oknPaymentAmount</vt:lpstr>
      <vt:lpstr>oknPaymentCreatedDate</vt:lpstr>
      <vt:lpstr>oknPaymentNotes</vt:lpstr>
      <vt:lpstr>oknPaymentPaymentTerm</vt:lpstr>
      <vt:lpstr>oknPayments</vt:lpstr>
      <vt:lpstr>oknPaymentTerm</vt:lpstr>
      <vt:lpstr>oknPaymentTotalApplied</vt:lpstr>
      <vt:lpstr>oknPrice_1</vt:lpstr>
      <vt:lpstr>oknPrice_10</vt:lpstr>
      <vt:lpstr>oknPrice_11</vt:lpstr>
      <vt:lpstr>oknPrice_12</vt:lpstr>
      <vt:lpstr>oknPrice_2</vt:lpstr>
      <vt:lpstr>oknPrice_3</vt:lpstr>
      <vt:lpstr>oknPrice_4</vt:lpstr>
      <vt:lpstr>oknPrice_5</vt:lpstr>
      <vt:lpstr>oknPrice_6</vt:lpstr>
      <vt:lpstr>oknPrice_7</vt:lpstr>
      <vt:lpstr>oknPrice_8</vt:lpstr>
      <vt:lpstr>oknPrice_9</vt:lpstr>
      <vt:lpstr>oknProductID_1</vt:lpstr>
      <vt:lpstr>oknProductID_10</vt:lpstr>
      <vt:lpstr>oknProductID_11</vt:lpstr>
      <vt:lpstr>oknProductID_12</vt:lpstr>
      <vt:lpstr>oknProductID_2</vt:lpstr>
      <vt:lpstr>oknProductID_3</vt:lpstr>
      <vt:lpstr>oknProductID_4</vt:lpstr>
      <vt:lpstr>oknProductID_5</vt:lpstr>
      <vt:lpstr>oknProductID_6</vt:lpstr>
      <vt:lpstr>oknProductID_7</vt:lpstr>
      <vt:lpstr>oknProductID_8</vt:lpstr>
      <vt:lpstr>oknProductID_9</vt:lpstr>
      <vt:lpstr>oknProductName_1</vt:lpstr>
      <vt:lpstr>oknProductName_10</vt:lpstr>
      <vt:lpstr>oknProductName_11</vt:lpstr>
      <vt:lpstr>oknProductName_12</vt:lpstr>
      <vt:lpstr>oknProductName_2</vt:lpstr>
      <vt:lpstr>oknProductName_3</vt:lpstr>
      <vt:lpstr>oknProductName_4</vt:lpstr>
      <vt:lpstr>oknProductName_5</vt:lpstr>
      <vt:lpstr>oknProductName_6</vt:lpstr>
      <vt:lpstr>oknProductName_7</vt:lpstr>
      <vt:lpstr>oknProductName_8</vt:lpstr>
      <vt:lpstr>oknProductName_9</vt:lpstr>
      <vt:lpstr>oknQuantity_1</vt:lpstr>
      <vt:lpstr>oknQuantity_10</vt:lpstr>
      <vt:lpstr>oknQuantity_11</vt:lpstr>
      <vt:lpstr>oknQuantity_12</vt:lpstr>
      <vt:lpstr>oknQuantity_2</vt:lpstr>
      <vt:lpstr>oknQuantity_3</vt:lpstr>
      <vt:lpstr>oknQuantity_4</vt:lpstr>
      <vt:lpstr>oknQuantity_5</vt:lpstr>
      <vt:lpstr>oknQuantity_6</vt:lpstr>
      <vt:lpstr>oknQuantity_7</vt:lpstr>
      <vt:lpstr>oknQuantity_8</vt:lpstr>
      <vt:lpstr>oknQuantity_9</vt:lpstr>
      <vt:lpstr>oknQuoteID</vt:lpstr>
      <vt:lpstr>oknSalesRepName</vt:lpstr>
      <vt:lpstr>oknShipAddress</vt:lpstr>
      <vt:lpstr>oknShipCityStateZip</vt:lpstr>
      <vt:lpstr>oknShipContact</vt:lpstr>
      <vt:lpstr>oknShipCountry</vt:lpstr>
      <vt:lpstr>oknShipDate</vt:lpstr>
      <vt:lpstr>oknShipName</vt:lpstr>
      <vt:lpstr>oknShippingCost</vt:lpstr>
      <vt:lpstr>oknShipVia</vt:lpstr>
      <vt:lpstr>oknShipZipPostcode</vt:lpstr>
      <vt:lpstr>oknStatus</vt:lpstr>
      <vt:lpstr>oknSubTotal</vt:lpstr>
      <vt:lpstr>oknTax1</vt:lpstr>
      <vt:lpstr>oknTax1Name</vt:lpstr>
      <vt:lpstr>oknTax1Rate</vt:lpstr>
      <vt:lpstr>oknTax1RateDefault</vt:lpstr>
      <vt:lpstr>oknTax2</vt:lpstr>
      <vt:lpstr>oknTax2IsAppliedToTax1</vt:lpstr>
      <vt:lpstr>oknTax2Name</vt:lpstr>
      <vt:lpstr>oknTax2Rate</vt:lpstr>
      <vt:lpstr>oknTax2RateDefault</vt:lpstr>
      <vt:lpstr>oknTaxable_1</vt:lpstr>
      <vt:lpstr>oknTaxable_10</vt:lpstr>
      <vt:lpstr>oknTaxable_11</vt:lpstr>
      <vt:lpstr>oknTaxable_12</vt:lpstr>
      <vt:lpstr>oknTaxable_2</vt:lpstr>
      <vt:lpstr>oknTaxable_3</vt:lpstr>
      <vt:lpstr>oknTaxable_4</vt:lpstr>
      <vt:lpstr>oknTaxable_5</vt:lpstr>
      <vt:lpstr>oknTaxable_6</vt:lpstr>
      <vt:lpstr>oknTaxable_7</vt:lpstr>
      <vt:lpstr>oknTaxable_8</vt:lpstr>
      <vt:lpstr>oknTaxable_9</vt:lpstr>
      <vt:lpstr>oknTaxTotalIncludingShippingCost</vt:lpstr>
      <vt:lpstr>oknTaxType</vt:lpstr>
      <vt:lpstr>oknTotal</vt:lpstr>
      <vt:lpstr>oknWhoAddress</vt:lpstr>
      <vt:lpstr>oknWhoCityStateZip</vt:lpstr>
      <vt:lpstr>oknWhoCountry</vt:lpstr>
      <vt:lpstr>oknWhoEmail</vt:lpstr>
      <vt:lpstr>oknWhoID</vt:lpstr>
      <vt:lpstr>oknWhoName</vt:lpstr>
      <vt:lpstr>oknWhoPhone</vt:lpstr>
      <vt:lpstr>oknWhoZipPostcode</vt:lpstr>
      <vt:lpstr>Invoice!Print_Area</vt:lpstr>
      <vt:lpstr>Invoice!Print_Titles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2019-04-03T06:42:36Z</dcterms:created>
  <dcterms:modified xsi:type="dcterms:W3CDTF">2024-03-26T02:50:13Z</dcterms:modified>
  <cp:category/>
  <cp:contentStatus/>
</cp:coreProperties>
</file>